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선문대 컴퓨터공학부\Downloads\"/>
    </mc:Choice>
  </mc:AlternateContent>
  <xr:revisionPtr revIDLastSave="0" documentId="8_{B3CB4652-7332-438B-B9CC-6E060733B7E4}" xr6:coauthVersionLast="47" xr6:coauthVersionMax="47" xr10:uidLastSave="{00000000-0000-0000-0000-000000000000}"/>
  <bookViews>
    <workbookView xWindow="-108" yWindow="-108" windowWidth="23256" windowHeight="12456" xr2:uid="{C6AD5CC8-0C3A-4C20-AD05-CA6254DF8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9" i="1" l="1"/>
  <c r="H199" i="1"/>
  <c r="G199" i="1"/>
  <c r="I192" i="1"/>
  <c r="H192" i="1"/>
  <c r="G192" i="1"/>
  <c r="I185" i="1"/>
  <c r="H185" i="1"/>
  <c r="G185" i="1"/>
  <c r="I178" i="1"/>
  <c r="H178" i="1"/>
  <c r="G178" i="1"/>
  <c r="I171" i="1"/>
  <c r="H171" i="1"/>
  <c r="G171" i="1"/>
  <c r="I164" i="1"/>
  <c r="H164" i="1"/>
  <c r="G164" i="1"/>
  <c r="I157" i="1"/>
  <c r="H157" i="1"/>
  <c r="G157" i="1"/>
  <c r="I150" i="1"/>
  <c r="H150" i="1"/>
  <c r="G150" i="1"/>
  <c r="I143" i="1"/>
  <c r="H143" i="1"/>
  <c r="G143" i="1"/>
  <c r="I136" i="1"/>
  <c r="H136" i="1"/>
  <c r="G136" i="1"/>
  <c r="I129" i="1"/>
  <c r="H129" i="1"/>
  <c r="G129" i="1"/>
  <c r="I122" i="1"/>
  <c r="H122" i="1"/>
  <c r="G122" i="1"/>
  <c r="I115" i="1"/>
  <c r="H115" i="1"/>
  <c r="G115" i="1"/>
  <c r="I108" i="1"/>
  <c r="H108" i="1"/>
  <c r="G108" i="1"/>
  <c r="I101" i="1"/>
  <c r="H101" i="1"/>
  <c r="G101" i="1"/>
  <c r="I94" i="1"/>
  <c r="H94" i="1"/>
  <c r="G94" i="1"/>
  <c r="I87" i="1"/>
  <c r="H87" i="1"/>
  <c r="G87" i="1"/>
  <c r="I80" i="1"/>
  <c r="H80" i="1"/>
  <c r="G80" i="1"/>
  <c r="I73" i="1"/>
  <c r="H73" i="1"/>
  <c r="G73" i="1"/>
  <c r="I66" i="1"/>
  <c r="H66" i="1"/>
  <c r="G66" i="1"/>
  <c r="I59" i="1"/>
  <c r="H59" i="1"/>
  <c r="G59" i="1"/>
  <c r="I52" i="1"/>
  <c r="H52" i="1"/>
  <c r="G52" i="1"/>
  <c r="I45" i="1"/>
  <c r="H45" i="1"/>
  <c r="G45" i="1"/>
  <c r="I38" i="1"/>
  <c r="H38" i="1"/>
  <c r="G38" i="1"/>
  <c r="I31" i="1"/>
  <c r="H31" i="1"/>
  <c r="G31" i="1"/>
  <c r="I24" i="1"/>
  <c r="H24" i="1"/>
  <c r="G24" i="1"/>
  <c r="I17" i="1"/>
  <c r="H17" i="1"/>
  <c r="G17" i="1"/>
  <c r="I10" i="1"/>
  <c r="H10" i="1"/>
  <c r="G10" i="1"/>
  <c r="N7" i="1"/>
  <c r="M7" i="1"/>
  <c r="L7" i="1"/>
  <c r="N6" i="1"/>
  <c r="M6" i="1"/>
  <c r="L6" i="1"/>
  <c r="N5" i="1"/>
  <c r="M5" i="1"/>
  <c r="L5" i="1"/>
  <c r="N4" i="1"/>
  <c r="M4" i="1"/>
  <c r="L4" i="1"/>
  <c r="I4" i="1"/>
  <c r="I3" i="1" s="1"/>
  <c r="H4" i="1"/>
  <c r="H3" i="1" s="1"/>
  <c r="G4" i="1"/>
  <c r="G3" i="1" s="1"/>
  <c r="N3" i="1"/>
  <c r="N8" i="1" s="1"/>
  <c r="M3" i="1"/>
  <c r="L3" i="1"/>
  <c r="D3" i="1"/>
  <c r="C3" i="1"/>
  <c r="B3" i="1"/>
  <c r="N2" i="1"/>
  <c r="M2" i="1"/>
  <c r="M8" i="1" s="1"/>
  <c r="L2" i="1"/>
  <c r="L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64" authorId="0" shapeId="0" xr:uid="{D839DBCA-36F6-4264-AB7A-9BBEFE26CF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 xml:space="preserve">* 6/30~7/13 </t>
        </r>
        <r>
          <rPr>
            <b/>
            <sz val="14"/>
            <color indexed="81"/>
            <rFont val="돋움"/>
            <family val="3"/>
            <charset val="129"/>
          </rPr>
          <t>기간은</t>
        </r>
        <r>
          <rPr>
            <b/>
            <sz val="14"/>
            <color indexed="81"/>
            <rFont val="Tahoma"/>
            <family val="2"/>
          </rPr>
          <t xml:space="preserve"> DMS </t>
        </r>
        <r>
          <rPr>
            <b/>
            <sz val="14"/>
            <color indexed="81"/>
            <rFont val="돋움"/>
            <family val="3"/>
            <charset val="129"/>
          </rPr>
          <t>장비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교체로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인해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측정자료가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없음을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알려드립니다</t>
        </r>
        <r>
          <rPr>
            <b/>
            <sz val="14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<sst xmlns="http://schemas.openxmlformats.org/spreadsheetml/2006/main" count="48" uniqueCount="41">
  <si>
    <t>DMS 포집내역 (2021.5.1 ~ 2021.10.31)</t>
    <phoneticPr fontId="3" type="noConversion"/>
  </si>
  <si>
    <t>2021년</t>
    <phoneticPr fontId="7" type="noConversion"/>
  </si>
  <si>
    <t>포집량</t>
    <phoneticPr fontId="7" type="noConversion"/>
  </si>
  <si>
    <t>모기</t>
    <phoneticPr fontId="7" type="noConversion"/>
  </si>
  <si>
    <t>기타</t>
    <phoneticPr fontId="7" type="noConversion"/>
  </si>
  <si>
    <t>5월</t>
    <phoneticPr fontId="7" type="noConversion"/>
  </si>
  <si>
    <t>계</t>
    <phoneticPr fontId="7" type="noConversion"/>
  </si>
  <si>
    <t>6월</t>
  </si>
  <si>
    <t>4월3주</t>
    <phoneticPr fontId="3" type="noConversion"/>
  </si>
  <si>
    <t>7월</t>
  </si>
  <si>
    <t>8월</t>
  </si>
  <si>
    <t>9월</t>
  </si>
  <si>
    <t>10월</t>
  </si>
  <si>
    <t>4월4주</t>
    <phoneticPr fontId="3" type="noConversion"/>
  </si>
  <si>
    <t>5월1주</t>
    <phoneticPr fontId="3" type="noConversion"/>
  </si>
  <si>
    <t>5월2주</t>
    <phoneticPr fontId="3" type="noConversion"/>
  </si>
  <si>
    <t>5월3주</t>
    <phoneticPr fontId="3" type="noConversion"/>
  </si>
  <si>
    <t>5월4주</t>
    <phoneticPr fontId="3" type="noConversion"/>
  </si>
  <si>
    <t>5월5주</t>
    <phoneticPr fontId="3" type="noConversion"/>
  </si>
  <si>
    <t>6월1주</t>
    <phoneticPr fontId="3" type="noConversion"/>
  </si>
  <si>
    <t>6월2주</t>
    <phoneticPr fontId="3" type="noConversion"/>
  </si>
  <si>
    <t>6월3주</t>
    <phoneticPr fontId="3" type="noConversion"/>
  </si>
  <si>
    <t>6월4주</t>
    <phoneticPr fontId="3" type="noConversion"/>
  </si>
  <si>
    <t>7월1주</t>
    <phoneticPr fontId="3" type="noConversion"/>
  </si>
  <si>
    <t>7월2주</t>
    <phoneticPr fontId="3" type="noConversion"/>
  </si>
  <si>
    <t>7월3주</t>
    <phoneticPr fontId="3" type="noConversion"/>
  </si>
  <si>
    <t>7월4주</t>
    <phoneticPr fontId="3" type="noConversion"/>
  </si>
  <si>
    <t>7월5주</t>
    <phoneticPr fontId="3" type="noConversion"/>
  </si>
  <si>
    <t>8월1주</t>
    <phoneticPr fontId="3" type="noConversion"/>
  </si>
  <si>
    <t>8월2주</t>
    <phoneticPr fontId="3" type="noConversion"/>
  </si>
  <si>
    <t>8월3주</t>
    <phoneticPr fontId="3" type="noConversion"/>
  </si>
  <si>
    <t>8월4주</t>
    <phoneticPr fontId="3" type="noConversion"/>
  </si>
  <si>
    <t>9월1주</t>
    <phoneticPr fontId="3" type="noConversion"/>
  </si>
  <si>
    <t>9월2주</t>
    <phoneticPr fontId="3" type="noConversion"/>
  </si>
  <si>
    <t>9월3주</t>
    <phoneticPr fontId="3" type="noConversion"/>
  </si>
  <si>
    <t>9월4주</t>
    <phoneticPr fontId="3" type="noConversion"/>
  </si>
  <si>
    <t>10월1주</t>
    <phoneticPr fontId="3" type="noConversion"/>
  </si>
  <si>
    <t>10월2주</t>
    <phoneticPr fontId="3" type="noConversion"/>
  </si>
  <si>
    <t>10월3주</t>
    <phoneticPr fontId="3" type="noConversion"/>
  </si>
  <si>
    <t>10월4주</t>
    <phoneticPr fontId="3" type="noConversion"/>
  </si>
  <si>
    <t>10월5주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</si>
</sst>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textRotation="255" wrapText="1"/>
    </xf>
    <xf numFmtId="0" fontId="5" fillId="0" borderId="0" xfId="1" applyFont="1">
      <alignment vertical="center"/>
    </xf>
    <xf numFmtId="0" fontId="1" fillId="0" borderId="0" xfId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41" fontId="8" fillId="0" borderId="0" xfId="2" applyFont="1">
      <alignment vertical="center"/>
    </xf>
    <xf numFmtId="0" fontId="1" fillId="2" borderId="5" xfId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2" borderId="5" xfId="1" applyFont="1" applyFill="1" applyBorder="1" applyAlignment="1">
      <alignment horizontal="center" vertical="center" textRotation="255" wrapText="1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41" fontId="1" fillId="0" borderId="10" xfId="2" applyFont="1" applyBorder="1">
      <alignment vertical="center"/>
    </xf>
    <xf numFmtId="41" fontId="1" fillId="0" borderId="11" xfId="2" applyFont="1" applyBorder="1">
      <alignment vertical="center"/>
    </xf>
    <xf numFmtId="0" fontId="6" fillId="3" borderId="12" xfId="1" applyFont="1" applyFill="1" applyBorder="1" applyAlignment="1">
      <alignment horizontal="center" vertical="center"/>
    </xf>
    <xf numFmtId="41" fontId="6" fillId="3" borderId="13" xfId="2" applyFont="1" applyFill="1" applyBorder="1" applyAlignment="1">
      <alignment horizontal="center" vertical="center"/>
    </xf>
    <xf numFmtId="41" fontId="8" fillId="3" borderId="14" xfId="2" applyFont="1" applyFill="1" applyBorder="1" applyAlignment="1">
      <alignment horizontal="center" vertical="center"/>
    </xf>
    <xf numFmtId="41" fontId="6" fillId="3" borderId="15" xfId="2" applyFont="1" applyFill="1" applyBorder="1" applyAlignment="1">
      <alignment horizontal="center" vertical="center"/>
    </xf>
    <xf numFmtId="41" fontId="6" fillId="0" borderId="0" xfId="2" applyFont="1" applyFill="1" applyBorder="1" applyAlignment="1">
      <alignment horizontal="center" vertical="center"/>
    </xf>
    <xf numFmtId="41" fontId="4" fillId="0" borderId="16" xfId="2" applyFont="1" applyFill="1" applyBorder="1" applyAlignment="1">
      <alignment horizontal="center" vertical="center" textRotation="255" wrapText="1"/>
    </xf>
    <xf numFmtId="41" fontId="5" fillId="0" borderId="0" xfId="1" applyNumberFormat="1" applyFont="1">
      <alignment vertical="center"/>
    </xf>
    <xf numFmtId="41" fontId="5" fillId="0" borderId="16" xfId="1" applyNumberFormat="1" applyFont="1" applyBorder="1">
      <alignment vertical="center"/>
    </xf>
    <xf numFmtId="14" fontId="1" fillId="0" borderId="17" xfId="1" applyNumberFormat="1" applyBorder="1" applyAlignment="1">
      <alignment horizontal="center" vertical="center"/>
    </xf>
    <xf numFmtId="41" fontId="1" fillId="0" borderId="18" xfId="2" applyFont="1" applyBorder="1" applyAlignment="1">
      <alignment horizontal="center" vertical="center"/>
    </xf>
    <xf numFmtId="41" fontId="1" fillId="0" borderId="19" xfId="2" applyFont="1" applyBorder="1" applyAlignment="1">
      <alignment horizontal="center" vertical="center"/>
    </xf>
    <xf numFmtId="41" fontId="1" fillId="0" borderId="0" xfId="2" applyFont="1" applyFill="1" applyBorder="1" applyAlignment="1">
      <alignment horizontal="center" vertical="center"/>
    </xf>
    <xf numFmtId="41" fontId="5" fillId="0" borderId="20" xfId="1" applyNumberFormat="1" applyFont="1" applyBorder="1" applyAlignment="1">
      <alignment horizontal="center" vertical="center" textRotation="255" wrapText="1"/>
    </xf>
    <xf numFmtId="41" fontId="5" fillId="0" borderId="21" xfId="1" applyNumberFormat="1" applyFont="1" applyBorder="1" applyAlignment="1">
      <alignment horizontal="center" vertical="center"/>
    </xf>
    <xf numFmtId="41" fontId="5" fillId="0" borderId="1" xfId="1" applyNumberFormat="1" applyFont="1" applyBorder="1" applyAlignment="1">
      <alignment horizontal="center" vertical="center"/>
    </xf>
    <xf numFmtId="14" fontId="1" fillId="0" borderId="22" xfId="1" applyNumberFormat="1" applyBorder="1" applyAlignment="1">
      <alignment horizontal="center" vertical="center"/>
    </xf>
    <xf numFmtId="41" fontId="1" fillId="0" borderId="23" xfId="2" applyFont="1" applyBorder="1" applyAlignment="1">
      <alignment horizontal="center" vertical="center"/>
    </xf>
    <xf numFmtId="41" fontId="1" fillId="0" borderId="24" xfId="2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 textRotation="255" wrapText="1"/>
    </xf>
    <xf numFmtId="0" fontId="5" fillId="0" borderId="2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" fillId="0" borderId="26" xfId="1" applyBorder="1" applyAlignment="1">
      <alignment horizontal="center" vertical="center"/>
    </xf>
    <xf numFmtId="41" fontId="1" fillId="0" borderId="27" xfId="2" applyFont="1" applyBorder="1">
      <alignment vertical="center"/>
    </xf>
    <xf numFmtId="41" fontId="1" fillId="0" borderId="28" xfId="2" applyFont="1" applyBorder="1">
      <alignment vertical="center"/>
    </xf>
    <xf numFmtId="0" fontId="6" fillId="0" borderId="1" xfId="1" applyFont="1" applyBorder="1" applyAlignment="1">
      <alignment horizontal="center" vertical="center"/>
    </xf>
    <xf numFmtId="41" fontId="6" fillId="0" borderId="2" xfId="1" applyNumberFormat="1" applyFont="1" applyBorder="1">
      <alignment vertical="center"/>
    </xf>
    <xf numFmtId="41" fontId="8" fillId="0" borderId="3" xfId="1" applyNumberFormat="1" applyFont="1" applyBorder="1">
      <alignment vertical="center"/>
    </xf>
    <xf numFmtId="41" fontId="6" fillId="0" borderId="4" xfId="1" applyNumberFormat="1" applyFont="1" applyBorder="1">
      <alignment vertical="center"/>
    </xf>
    <xf numFmtId="0" fontId="5" fillId="0" borderId="16" xfId="1" applyFont="1" applyBorder="1" applyAlignment="1">
      <alignment horizontal="center" vertical="center" textRotation="255" wrapText="1"/>
    </xf>
    <xf numFmtId="41" fontId="5" fillId="0" borderId="20" xfId="2" applyFont="1" applyFill="1" applyBorder="1" applyAlignment="1">
      <alignment horizontal="center" vertical="center" textRotation="255" wrapText="1"/>
    </xf>
    <xf numFmtId="41" fontId="5" fillId="0" borderId="25" xfId="2" applyFont="1" applyFill="1" applyBorder="1" applyAlignment="1">
      <alignment horizontal="center" vertical="center" textRotation="255" wrapText="1"/>
    </xf>
    <xf numFmtId="41" fontId="5" fillId="0" borderId="16" xfId="2" applyFont="1" applyFill="1" applyBorder="1" applyAlignment="1">
      <alignment horizontal="center" vertical="center" textRotation="255" wrapText="1"/>
    </xf>
    <xf numFmtId="14" fontId="1" fillId="0" borderId="29" xfId="1" applyNumberFormat="1" applyBorder="1" applyAlignment="1">
      <alignment horizontal="center" vertical="center"/>
    </xf>
    <xf numFmtId="41" fontId="1" fillId="0" borderId="30" xfId="2" applyFont="1" applyBorder="1" applyAlignment="1">
      <alignment horizontal="center" vertical="center"/>
    </xf>
    <xf numFmtId="41" fontId="1" fillId="0" borderId="31" xfId="2" applyFont="1" applyBorder="1" applyAlignment="1">
      <alignment horizontal="center" vertical="center"/>
    </xf>
    <xf numFmtId="41" fontId="5" fillId="0" borderId="0" xfId="2" applyFont="1" applyFill="1" applyBorder="1" applyAlignment="1">
      <alignment vertical="center" textRotation="255" wrapText="1"/>
    </xf>
    <xf numFmtId="0" fontId="5" fillId="0" borderId="0" xfId="1" applyFont="1" applyAlignment="1">
      <alignment vertical="center" textRotation="255" wrapText="1"/>
    </xf>
  </cellXfs>
  <cellStyles count="3">
    <cellStyle name="쉼표 [0] 2" xfId="2" xr:uid="{DCA479FA-A1D9-4EFD-9514-8C174BC1295F}"/>
    <cellStyle name="표준" xfId="0" builtinId="0"/>
    <cellStyle name="표준 2" xfId="1" xr:uid="{9A178C0C-7C16-43BD-B97B-0EE452808C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7390-A75A-4D75-90E5-9D5E38764BB5}">
  <dimension ref="A1:P224"/>
  <sheetViews>
    <sheetView tabSelected="1" workbookViewId="0">
      <selection activeCell="O17" sqref="O17"/>
    </sheetView>
  </sheetViews>
  <sheetFormatPr defaultRowHeight="17.399999999999999" x14ac:dyDescent="0.4"/>
  <cols>
    <col min="1" max="1" width="11.09765625" style="5" bestFit="1" customWidth="1"/>
    <col min="2" max="2" width="12.19921875" style="5" customWidth="1"/>
    <col min="3" max="3" width="11.8984375" style="5" customWidth="1"/>
    <col min="4" max="4" width="9.8984375" style="5" customWidth="1"/>
    <col min="5" max="5" width="2" style="5" customWidth="1"/>
    <col min="6" max="6" width="2.59765625" style="59" hidden="1" customWidth="1"/>
    <col min="7" max="7" width="8.19921875" style="4" hidden="1" customWidth="1"/>
    <col min="8" max="8" width="7.5" style="4" hidden="1" customWidth="1"/>
    <col min="9" max="9" width="5.69921875" style="4" hidden="1" customWidth="1"/>
    <col min="10" max="10" width="3.69921875" style="5" customWidth="1"/>
    <col min="11" max="11" width="8.796875" style="5"/>
    <col min="12" max="12" width="11.8984375" style="5" customWidth="1"/>
    <col min="13" max="13" width="12" style="5" customWidth="1"/>
    <col min="14" max="14" width="10" style="5" customWidth="1"/>
    <col min="15" max="15" width="8.796875" style="5"/>
    <col min="16" max="16" width="14" style="5" customWidth="1"/>
    <col min="17" max="261" width="8.796875" style="5"/>
    <col min="262" max="262" width="11.09765625" style="5" bestFit="1" customWidth="1"/>
    <col min="263" max="265" width="9.8984375" style="5" customWidth="1"/>
    <col min="266" max="267" width="8.796875" style="5"/>
    <col min="268" max="269" width="9.69921875" style="5" customWidth="1"/>
    <col min="270" max="517" width="8.796875" style="5"/>
    <col min="518" max="518" width="11.09765625" style="5" bestFit="1" customWidth="1"/>
    <col min="519" max="521" width="9.8984375" style="5" customWidth="1"/>
    <col min="522" max="523" width="8.796875" style="5"/>
    <col min="524" max="525" width="9.69921875" style="5" customWidth="1"/>
    <col min="526" max="773" width="8.796875" style="5"/>
    <col min="774" max="774" width="11.09765625" style="5" bestFit="1" customWidth="1"/>
    <col min="775" max="777" width="9.8984375" style="5" customWidth="1"/>
    <col min="778" max="779" width="8.796875" style="5"/>
    <col min="780" max="781" width="9.69921875" style="5" customWidth="1"/>
    <col min="782" max="1029" width="8.796875" style="5"/>
    <col min="1030" max="1030" width="11.09765625" style="5" bestFit="1" customWidth="1"/>
    <col min="1031" max="1033" width="9.8984375" style="5" customWidth="1"/>
    <col min="1034" max="1035" width="8.796875" style="5"/>
    <col min="1036" max="1037" width="9.69921875" style="5" customWidth="1"/>
    <col min="1038" max="1285" width="8.796875" style="5"/>
    <col min="1286" max="1286" width="11.09765625" style="5" bestFit="1" customWidth="1"/>
    <col min="1287" max="1289" width="9.8984375" style="5" customWidth="1"/>
    <col min="1290" max="1291" width="8.796875" style="5"/>
    <col min="1292" max="1293" width="9.69921875" style="5" customWidth="1"/>
    <col min="1294" max="1541" width="8.796875" style="5"/>
    <col min="1542" max="1542" width="11.09765625" style="5" bestFit="1" customWidth="1"/>
    <col min="1543" max="1545" width="9.8984375" style="5" customWidth="1"/>
    <col min="1546" max="1547" width="8.796875" style="5"/>
    <col min="1548" max="1549" width="9.69921875" style="5" customWidth="1"/>
    <col min="1550" max="1797" width="8.796875" style="5"/>
    <col min="1798" max="1798" width="11.09765625" style="5" bestFit="1" customWidth="1"/>
    <col min="1799" max="1801" width="9.8984375" style="5" customWidth="1"/>
    <col min="1802" max="1803" width="8.796875" style="5"/>
    <col min="1804" max="1805" width="9.69921875" style="5" customWidth="1"/>
    <col min="1806" max="2053" width="8.796875" style="5"/>
    <col min="2054" max="2054" width="11.09765625" style="5" bestFit="1" customWidth="1"/>
    <col min="2055" max="2057" width="9.8984375" style="5" customWidth="1"/>
    <col min="2058" max="2059" width="8.796875" style="5"/>
    <col min="2060" max="2061" width="9.69921875" style="5" customWidth="1"/>
    <col min="2062" max="2309" width="8.796875" style="5"/>
    <col min="2310" max="2310" width="11.09765625" style="5" bestFit="1" customWidth="1"/>
    <col min="2311" max="2313" width="9.8984375" style="5" customWidth="1"/>
    <col min="2314" max="2315" width="8.796875" style="5"/>
    <col min="2316" max="2317" width="9.69921875" style="5" customWidth="1"/>
    <col min="2318" max="2565" width="8.796875" style="5"/>
    <col min="2566" max="2566" width="11.09765625" style="5" bestFit="1" customWidth="1"/>
    <col min="2567" max="2569" width="9.8984375" style="5" customWidth="1"/>
    <col min="2570" max="2571" width="8.796875" style="5"/>
    <col min="2572" max="2573" width="9.69921875" style="5" customWidth="1"/>
    <col min="2574" max="2821" width="8.796875" style="5"/>
    <col min="2822" max="2822" width="11.09765625" style="5" bestFit="1" customWidth="1"/>
    <col min="2823" max="2825" width="9.8984375" style="5" customWidth="1"/>
    <col min="2826" max="2827" width="8.796875" style="5"/>
    <col min="2828" max="2829" width="9.69921875" style="5" customWidth="1"/>
    <col min="2830" max="3077" width="8.796875" style="5"/>
    <col min="3078" max="3078" width="11.09765625" style="5" bestFit="1" customWidth="1"/>
    <col min="3079" max="3081" width="9.8984375" style="5" customWidth="1"/>
    <col min="3082" max="3083" width="8.796875" style="5"/>
    <col min="3084" max="3085" width="9.69921875" style="5" customWidth="1"/>
    <col min="3086" max="3333" width="8.796875" style="5"/>
    <col min="3334" max="3334" width="11.09765625" style="5" bestFit="1" customWidth="1"/>
    <col min="3335" max="3337" width="9.8984375" style="5" customWidth="1"/>
    <col min="3338" max="3339" width="8.796875" style="5"/>
    <col min="3340" max="3341" width="9.69921875" style="5" customWidth="1"/>
    <col min="3342" max="3589" width="8.796875" style="5"/>
    <col min="3590" max="3590" width="11.09765625" style="5" bestFit="1" customWidth="1"/>
    <col min="3591" max="3593" width="9.8984375" style="5" customWidth="1"/>
    <col min="3594" max="3595" width="8.796875" style="5"/>
    <col min="3596" max="3597" width="9.69921875" style="5" customWidth="1"/>
    <col min="3598" max="3845" width="8.796875" style="5"/>
    <col min="3846" max="3846" width="11.09765625" style="5" bestFit="1" customWidth="1"/>
    <col min="3847" max="3849" width="9.8984375" style="5" customWidth="1"/>
    <col min="3850" max="3851" width="8.796875" style="5"/>
    <col min="3852" max="3853" width="9.69921875" style="5" customWidth="1"/>
    <col min="3854" max="4101" width="8.796875" style="5"/>
    <col min="4102" max="4102" width="11.09765625" style="5" bestFit="1" customWidth="1"/>
    <col min="4103" max="4105" width="9.8984375" style="5" customWidth="1"/>
    <col min="4106" max="4107" width="8.796875" style="5"/>
    <col min="4108" max="4109" width="9.69921875" style="5" customWidth="1"/>
    <col min="4110" max="4357" width="8.796875" style="5"/>
    <col min="4358" max="4358" width="11.09765625" style="5" bestFit="1" customWidth="1"/>
    <col min="4359" max="4361" width="9.8984375" style="5" customWidth="1"/>
    <col min="4362" max="4363" width="8.796875" style="5"/>
    <col min="4364" max="4365" width="9.69921875" style="5" customWidth="1"/>
    <col min="4366" max="4613" width="8.796875" style="5"/>
    <col min="4614" max="4614" width="11.09765625" style="5" bestFit="1" customWidth="1"/>
    <col min="4615" max="4617" width="9.8984375" style="5" customWidth="1"/>
    <col min="4618" max="4619" width="8.796875" style="5"/>
    <col min="4620" max="4621" width="9.69921875" style="5" customWidth="1"/>
    <col min="4622" max="4869" width="8.796875" style="5"/>
    <col min="4870" max="4870" width="11.09765625" style="5" bestFit="1" customWidth="1"/>
    <col min="4871" max="4873" width="9.8984375" style="5" customWidth="1"/>
    <col min="4874" max="4875" width="8.796875" style="5"/>
    <col min="4876" max="4877" width="9.69921875" style="5" customWidth="1"/>
    <col min="4878" max="5125" width="8.796875" style="5"/>
    <col min="5126" max="5126" width="11.09765625" style="5" bestFit="1" customWidth="1"/>
    <col min="5127" max="5129" width="9.8984375" style="5" customWidth="1"/>
    <col min="5130" max="5131" width="8.796875" style="5"/>
    <col min="5132" max="5133" width="9.69921875" style="5" customWidth="1"/>
    <col min="5134" max="5381" width="8.796875" style="5"/>
    <col min="5382" max="5382" width="11.09765625" style="5" bestFit="1" customWidth="1"/>
    <col min="5383" max="5385" width="9.8984375" style="5" customWidth="1"/>
    <col min="5386" max="5387" width="8.796875" style="5"/>
    <col min="5388" max="5389" width="9.69921875" style="5" customWidth="1"/>
    <col min="5390" max="5637" width="8.796875" style="5"/>
    <col min="5638" max="5638" width="11.09765625" style="5" bestFit="1" customWidth="1"/>
    <col min="5639" max="5641" width="9.8984375" style="5" customWidth="1"/>
    <col min="5642" max="5643" width="8.796875" style="5"/>
    <col min="5644" max="5645" width="9.69921875" style="5" customWidth="1"/>
    <col min="5646" max="5893" width="8.796875" style="5"/>
    <col min="5894" max="5894" width="11.09765625" style="5" bestFit="1" customWidth="1"/>
    <col min="5895" max="5897" width="9.8984375" style="5" customWidth="1"/>
    <col min="5898" max="5899" width="8.796875" style="5"/>
    <col min="5900" max="5901" width="9.69921875" style="5" customWidth="1"/>
    <col min="5902" max="6149" width="8.796875" style="5"/>
    <col min="6150" max="6150" width="11.09765625" style="5" bestFit="1" customWidth="1"/>
    <col min="6151" max="6153" width="9.8984375" style="5" customWidth="1"/>
    <col min="6154" max="6155" width="8.796875" style="5"/>
    <col min="6156" max="6157" width="9.69921875" style="5" customWidth="1"/>
    <col min="6158" max="6405" width="8.796875" style="5"/>
    <col min="6406" max="6406" width="11.09765625" style="5" bestFit="1" customWidth="1"/>
    <col min="6407" max="6409" width="9.8984375" style="5" customWidth="1"/>
    <col min="6410" max="6411" width="8.796875" style="5"/>
    <col min="6412" max="6413" width="9.69921875" style="5" customWidth="1"/>
    <col min="6414" max="6661" width="8.796875" style="5"/>
    <col min="6662" max="6662" width="11.09765625" style="5" bestFit="1" customWidth="1"/>
    <col min="6663" max="6665" width="9.8984375" style="5" customWidth="1"/>
    <col min="6666" max="6667" width="8.796875" style="5"/>
    <col min="6668" max="6669" width="9.69921875" style="5" customWidth="1"/>
    <col min="6670" max="6917" width="8.796875" style="5"/>
    <col min="6918" max="6918" width="11.09765625" style="5" bestFit="1" customWidth="1"/>
    <col min="6919" max="6921" width="9.8984375" style="5" customWidth="1"/>
    <col min="6922" max="6923" width="8.796875" style="5"/>
    <col min="6924" max="6925" width="9.69921875" style="5" customWidth="1"/>
    <col min="6926" max="7173" width="8.796875" style="5"/>
    <col min="7174" max="7174" width="11.09765625" style="5" bestFit="1" customWidth="1"/>
    <col min="7175" max="7177" width="9.8984375" style="5" customWidth="1"/>
    <col min="7178" max="7179" width="8.796875" style="5"/>
    <col min="7180" max="7181" width="9.69921875" style="5" customWidth="1"/>
    <col min="7182" max="7429" width="8.796875" style="5"/>
    <col min="7430" max="7430" width="11.09765625" style="5" bestFit="1" customWidth="1"/>
    <col min="7431" max="7433" width="9.8984375" style="5" customWidth="1"/>
    <col min="7434" max="7435" width="8.796875" style="5"/>
    <col min="7436" max="7437" width="9.69921875" style="5" customWidth="1"/>
    <col min="7438" max="7685" width="8.796875" style="5"/>
    <col min="7686" max="7686" width="11.09765625" style="5" bestFit="1" customWidth="1"/>
    <col min="7687" max="7689" width="9.8984375" style="5" customWidth="1"/>
    <col min="7690" max="7691" width="8.796875" style="5"/>
    <col min="7692" max="7693" width="9.69921875" style="5" customWidth="1"/>
    <col min="7694" max="7941" width="8.796875" style="5"/>
    <col min="7942" max="7942" width="11.09765625" style="5" bestFit="1" customWidth="1"/>
    <col min="7943" max="7945" width="9.8984375" style="5" customWidth="1"/>
    <col min="7946" max="7947" width="8.796875" style="5"/>
    <col min="7948" max="7949" width="9.69921875" style="5" customWidth="1"/>
    <col min="7950" max="8197" width="8.796875" style="5"/>
    <col min="8198" max="8198" width="11.09765625" style="5" bestFit="1" customWidth="1"/>
    <col min="8199" max="8201" width="9.8984375" style="5" customWidth="1"/>
    <col min="8202" max="8203" width="8.796875" style="5"/>
    <col min="8204" max="8205" width="9.69921875" style="5" customWidth="1"/>
    <col min="8206" max="8453" width="8.796875" style="5"/>
    <col min="8454" max="8454" width="11.09765625" style="5" bestFit="1" customWidth="1"/>
    <col min="8455" max="8457" width="9.8984375" style="5" customWidth="1"/>
    <col min="8458" max="8459" width="8.796875" style="5"/>
    <col min="8460" max="8461" width="9.69921875" style="5" customWidth="1"/>
    <col min="8462" max="8709" width="8.796875" style="5"/>
    <col min="8710" max="8710" width="11.09765625" style="5" bestFit="1" customWidth="1"/>
    <col min="8711" max="8713" width="9.8984375" style="5" customWidth="1"/>
    <col min="8714" max="8715" width="8.796875" style="5"/>
    <col min="8716" max="8717" width="9.69921875" style="5" customWidth="1"/>
    <col min="8718" max="8965" width="8.796875" style="5"/>
    <col min="8966" max="8966" width="11.09765625" style="5" bestFit="1" customWidth="1"/>
    <col min="8967" max="8969" width="9.8984375" style="5" customWidth="1"/>
    <col min="8970" max="8971" width="8.796875" style="5"/>
    <col min="8972" max="8973" width="9.69921875" style="5" customWidth="1"/>
    <col min="8974" max="9221" width="8.796875" style="5"/>
    <col min="9222" max="9222" width="11.09765625" style="5" bestFit="1" customWidth="1"/>
    <col min="9223" max="9225" width="9.8984375" style="5" customWidth="1"/>
    <col min="9226" max="9227" width="8.796875" style="5"/>
    <col min="9228" max="9229" width="9.69921875" style="5" customWidth="1"/>
    <col min="9230" max="9477" width="8.796875" style="5"/>
    <col min="9478" max="9478" width="11.09765625" style="5" bestFit="1" customWidth="1"/>
    <col min="9479" max="9481" width="9.8984375" style="5" customWidth="1"/>
    <col min="9482" max="9483" width="8.796875" style="5"/>
    <col min="9484" max="9485" width="9.69921875" style="5" customWidth="1"/>
    <col min="9486" max="9733" width="8.796875" style="5"/>
    <col min="9734" max="9734" width="11.09765625" style="5" bestFit="1" customWidth="1"/>
    <col min="9735" max="9737" width="9.8984375" style="5" customWidth="1"/>
    <col min="9738" max="9739" width="8.796875" style="5"/>
    <col min="9740" max="9741" width="9.69921875" style="5" customWidth="1"/>
    <col min="9742" max="9989" width="8.796875" style="5"/>
    <col min="9990" max="9990" width="11.09765625" style="5" bestFit="1" customWidth="1"/>
    <col min="9991" max="9993" width="9.8984375" style="5" customWidth="1"/>
    <col min="9994" max="9995" width="8.796875" style="5"/>
    <col min="9996" max="9997" width="9.69921875" style="5" customWidth="1"/>
    <col min="9998" max="10245" width="8.796875" style="5"/>
    <col min="10246" max="10246" width="11.09765625" style="5" bestFit="1" customWidth="1"/>
    <col min="10247" max="10249" width="9.8984375" style="5" customWidth="1"/>
    <col min="10250" max="10251" width="8.796875" style="5"/>
    <col min="10252" max="10253" width="9.69921875" style="5" customWidth="1"/>
    <col min="10254" max="10501" width="8.796875" style="5"/>
    <col min="10502" max="10502" width="11.09765625" style="5" bestFit="1" customWidth="1"/>
    <col min="10503" max="10505" width="9.8984375" style="5" customWidth="1"/>
    <col min="10506" max="10507" width="8.796875" style="5"/>
    <col min="10508" max="10509" width="9.69921875" style="5" customWidth="1"/>
    <col min="10510" max="10757" width="8.796875" style="5"/>
    <col min="10758" max="10758" width="11.09765625" style="5" bestFit="1" customWidth="1"/>
    <col min="10759" max="10761" width="9.8984375" style="5" customWidth="1"/>
    <col min="10762" max="10763" width="8.796875" style="5"/>
    <col min="10764" max="10765" width="9.69921875" style="5" customWidth="1"/>
    <col min="10766" max="11013" width="8.796875" style="5"/>
    <col min="11014" max="11014" width="11.09765625" style="5" bestFit="1" customWidth="1"/>
    <col min="11015" max="11017" width="9.8984375" style="5" customWidth="1"/>
    <col min="11018" max="11019" width="8.796875" style="5"/>
    <col min="11020" max="11021" width="9.69921875" style="5" customWidth="1"/>
    <col min="11022" max="11269" width="8.796875" style="5"/>
    <col min="11270" max="11270" width="11.09765625" style="5" bestFit="1" customWidth="1"/>
    <col min="11271" max="11273" width="9.8984375" style="5" customWidth="1"/>
    <col min="11274" max="11275" width="8.796875" style="5"/>
    <col min="11276" max="11277" width="9.69921875" style="5" customWidth="1"/>
    <col min="11278" max="11525" width="8.796875" style="5"/>
    <col min="11526" max="11526" width="11.09765625" style="5" bestFit="1" customWidth="1"/>
    <col min="11527" max="11529" width="9.8984375" style="5" customWidth="1"/>
    <col min="11530" max="11531" width="8.796875" style="5"/>
    <col min="11532" max="11533" width="9.69921875" style="5" customWidth="1"/>
    <col min="11534" max="11781" width="8.796875" style="5"/>
    <col min="11782" max="11782" width="11.09765625" style="5" bestFit="1" customWidth="1"/>
    <col min="11783" max="11785" width="9.8984375" style="5" customWidth="1"/>
    <col min="11786" max="11787" width="8.796875" style="5"/>
    <col min="11788" max="11789" width="9.69921875" style="5" customWidth="1"/>
    <col min="11790" max="12037" width="8.796875" style="5"/>
    <col min="12038" max="12038" width="11.09765625" style="5" bestFit="1" customWidth="1"/>
    <col min="12039" max="12041" width="9.8984375" style="5" customWidth="1"/>
    <col min="12042" max="12043" width="8.796875" style="5"/>
    <col min="12044" max="12045" width="9.69921875" style="5" customWidth="1"/>
    <col min="12046" max="12293" width="8.796875" style="5"/>
    <col min="12294" max="12294" width="11.09765625" style="5" bestFit="1" customWidth="1"/>
    <col min="12295" max="12297" width="9.8984375" style="5" customWidth="1"/>
    <col min="12298" max="12299" width="8.796875" style="5"/>
    <col min="12300" max="12301" width="9.69921875" style="5" customWidth="1"/>
    <col min="12302" max="12549" width="8.796875" style="5"/>
    <col min="12550" max="12550" width="11.09765625" style="5" bestFit="1" customWidth="1"/>
    <col min="12551" max="12553" width="9.8984375" style="5" customWidth="1"/>
    <col min="12554" max="12555" width="8.796875" style="5"/>
    <col min="12556" max="12557" width="9.69921875" style="5" customWidth="1"/>
    <col min="12558" max="12805" width="8.796875" style="5"/>
    <col min="12806" max="12806" width="11.09765625" style="5" bestFit="1" customWidth="1"/>
    <col min="12807" max="12809" width="9.8984375" style="5" customWidth="1"/>
    <col min="12810" max="12811" width="8.796875" style="5"/>
    <col min="12812" max="12813" width="9.69921875" style="5" customWidth="1"/>
    <col min="12814" max="13061" width="8.796875" style="5"/>
    <col min="13062" max="13062" width="11.09765625" style="5" bestFit="1" customWidth="1"/>
    <col min="13063" max="13065" width="9.8984375" style="5" customWidth="1"/>
    <col min="13066" max="13067" width="8.796875" style="5"/>
    <col min="13068" max="13069" width="9.69921875" style="5" customWidth="1"/>
    <col min="13070" max="13317" width="8.796875" style="5"/>
    <col min="13318" max="13318" width="11.09765625" style="5" bestFit="1" customWidth="1"/>
    <col min="13319" max="13321" width="9.8984375" style="5" customWidth="1"/>
    <col min="13322" max="13323" width="8.796875" style="5"/>
    <col min="13324" max="13325" width="9.69921875" style="5" customWidth="1"/>
    <col min="13326" max="13573" width="8.796875" style="5"/>
    <col min="13574" max="13574" width="11.09765625" style="5" bestFit="1" customWidth="1"/>
    <col min="13575" max="13577" width="9.8984375" style="5" customWidth="1"/>
    <col min="13578" max="13579" width="8.796875" style="5"/>
    <col min="13580" max="13581" width="9.69921875" style="5" customWidth="1"/>
    <col min="13582" max="13829" width="8.796875" style="5"/>
    <col min="13830" max="13830" width="11.09765625" style="5" bestFit="1" customWidth="1"/>
    <col min="13831" max="13833" width="9.8984375" style="5" customWidth="1"/>
    <col min="13834" max="13835" width="8.796875" style="5"/>
    <col min="13836" max="13837" width="9.69921875" style="5" customWidth="1"/>
    <col min="13838" max="14085" width="8.796875" style="5"/>
    <col min="14086" max="14086" width="11.09765625" style="5" bestFit="1" customWidth="1"/>
    <col min="14087" max="14089" width="9.8984375" style="5" customWidth="1"/>
    <col min="14090" max="14091" width="8.796875" style="5"/>
    <col min="14092" max="14093" width="9.69921875" style="5" customWidth="1"/>
    <col min="14094" max="14341" width="8.796875" style="5"/>
    <col min="14342" max="14342" width="11.09765625" style="5" bestFit="1" customWidth="1"/>
    <col min="14343" max="14345" width="9.8984375" style="5" customWidth="1"/>
    <col min="14346" max="14347" width="8.796875" style="5"/>
    <col min="14348" max="14349" width="9.69921875" style="5" customWidth="1"/>
    <col min="14350" max="14597" width="8.796875" style="5"/>
    <col min="14598" max="14598" width="11.09765625" style="5" bestFit="1" customWidth="1"/>
    <col min="14599" max="14601" width="9.8984375" style="5" customWidth="1"/>
    <col min="14602" max="14603" width="8.796875" style="5"/>
    <col min="14604" max="14605" width="9.69921875" style="5" customWidth="1"/>
    <col min="14606" max="14853" width="8.796875" style="5"/>
    <col min="14854" max="14854" width="11.09765625" style="5" bestFit="1" customWidth="1"/>
    <col min="14855" max="14857" width="9.8984375" style="5" customWidth="1"/>
    <col min="14858" max="14859" width="8.796875" style="5"/>
    <col min="14860" max="14861" width="9.69921875" style="5" customWidth="1"/>
    <col min="14862" max="15109" width="8.796875" style="5"/>
    <col min="15110" max="15110" width="11.09765625" style="5" bestFit="1" customWidth="1"/>
    <col min="15111" max="15113" width="9.8984375" style="5" customWidth="1"/>
    <col min="15114" max="15115" width="8.796875" style="5"/>
    <col min="15116" max="15117" width="9.69921875" style="5" customWidth="1"/>
    <col min="15118" max="15365" width="8.796875" style="5"/>
    <col min="15366" max="15366" width="11.09765625" style="5" bestFit="1" customWidth="1"/>
    <col min="15367" max="15369" width="9.8984375" style="5" customWidth="1"/>
    <col min="15370" max="15371" width="8.796875" style="5"/>
    <col min="15372" max="15373" width="9.69921875" style="5" customWidth="1"/>
    <col min="15374" max="15621" width="8.796875" style="5"/>
    <col min="15622" max="15622" width="11.09765625" style="5" bestFit="1" customWidth="1"/>
    <col min="15623" max="15625" width="9.8984375" style="5" customWidth="1"/>
    <col min="15626" max="15627" width="8.796875" style="5"/>
    <col min="15628" max="15629" width="9.69921875" style="5" customWidth="1"/>
    <col min="15630" max="15877" width="8.796875" style="5"/>
    <col min="15878" max="15878" width="11.09765625" style="5" bestFit="1" customWidth="1"/>
    <col min="15879" max="15881" width="9.8984375" style="5" customWidth="1"/>
    <col min="15882" max="15883" width="8.796875" style="5"/>
    <col min="15884" max="15885" width="9.69921875" style="5" customWidth="1"/>
    <col min="15886" max="16133" width="8.796875" style="5"/>
    <col min="16134" max="16134" width="11.09765625" style="5" bestFit="1" customWidth="1"/>
    <col min="16135" max="16137" width="9.8984375" style="5" customWidth="1"/>
    <col min="16138" max="16139" width="8.796875" style="5"/>
    <col min="16140" max="16141" width="9.69921875" style="5" customWidth="1"/>
    <col min="16142" max="16384" width="8.796875" style="5"/>
  </cols>
  <sheetData>
    <row r="1" spans="1:16" ht="20.399999999999999" x14ac:dyDescent="0.4">
      <c r="A1" s="1" t="s">
        <v>0</v>
      </c>
      <c r="B1" s="1"/>
      <c r="C1" s="1"/>
      <c r="D1" s="1"/>
      <c r="E1" s="2"/>
      <c r="F1" s="3"/>
      <c r="K1" s="6" t="s">
        <v>1</v>
      </c>
      <c r="L1" s="7" t="s">
        <v>2</v>
      </c>
      <c r="M1" s="8" t="s">
        <v>3</v>
      </c>
      <c r="N1" s="9" t="s">
        <v>4</v>
      </c>
      <c r="P1" s="10"/>
    </row>
    <row r="2" spans="1:16" ht="18" thickBot="1" x14ac:dyDescent="0.45">
      <c r="A2" s="11"/>
      <c r="B2" s="12" t="s">
        <v>2</v>
      </c>
      <c r="C2" s="13" t="s">
        <v>3</v>
      </c>
      <c r="D2" s="14" t="s">
        <v>4</v>
      </c>
      <c r="E2" s="15"/>
      <c r="F2" s="16"/>
      <c r="G2" s="17" t="s">
        <v>2</v>
      </c>
      <c r="H2" s="18" t="s">
        <v>3</v>
      </c>
      <c r="I2" s="19" t="s">
        <v>4</v>
      </c>
      <c r="K2" s="20" t="s">
        <v>5</v>
      </c>
      <c r="L2" s="21">
        <f>SUM(B4:B34)</f>
        <v>42345</v>
      </c>
      <c r="M2" s="21">
        <f>SUM(C4:C34)</f>
        <v>41791</v>
      </c>
      <c r="N2" s="22">
        <f>SUM(D4:D34)</f>
        <v>554</v>
      </c>
    </row>
    <row r="3" spans="1:16" ht="18" thickTop="1" x14ac:dyDescent="0.4">
      <c r="A3" s="23" t="s">
        <v>6</v>
      </c>
      <c r="B3" s="24">
        <f>SUM(B4:B187)</f>
        <v>414527</v>
      </c>
      <c r="C3" s="25">
        <f>SUM(C4:C187)</f>
        <v>403196</v>
      </c>
      <c r="D3" s="26">
        <f>SUM(D4:D187)</f>
        <v>11363</v>
      </c>
      <c r="E3" s="27"/>
      <c r="F3" s="28"/>
      <c r="G3" s="29" t="e">
        <f>SUM(G4:G203)</f>
        <v>#REF!</v>
      </c>
      <c r="H3" s="30" t="e">
        <f t="shared" ref="H3:I3" si="0">SUM(H4:H203)</f>
        <v>#REF!</v>
      </c>
      <c r="I3" s="30" t="e">
        <f t="shared" si="0"/>
        <v>#REF!</v>
      </c>
      <c r="K3" s="20" t="s">
        <v>7</v>
      </c>
      <c r="L3" s="21">
        <f>SUM(B35:B64)</f>
        <v>84312</v>
      </c>
      <c r="M3" s="21">
        <f>SUM(C35:C64)</f>
        <v>83574</v>
      </c>
      <c r="N3" s="22">
        <f>SUM(D35:D64)</f>
        <v>769</v>
      </c>
    </row>
    <row r="4" spans="1:16" ht="16.5" customHeight="1" x14ac:dyDescent="0.4">
      <c r="A4" s="31">
        <v>44317</v>
      </c>
      <c r="B4" s="32">
        <v>395</v>
      </c>
      <c r="C4" s="32">
        <v>388</v>
      </c>
      <c r="D4" s="33">
        <v>7</v>
      </c>
      <c r="E4" s="34"/>
      <c r="F4" s="35" t="s">
        <v>8</v>
      </c>
      <c r="G4" s="36" t="e">
        <f>SUM(#REF!)</f>
        <v>#REF!</v>
      </c>
      <c r="H4" s="37" t="e">
        <f>SUM(#REF!)</f>
        <v>#REF!</v>
      </c>
      <c r="I4" s="37" t="e">
        <f>SUM(#REF!)</f>
        <v>#REF!</v>
      </c>
      <c r="K4" s="20" t="s">
        <v>9</v>
      </c>
      <c r="L4" s="21">
        <f>SUM(B65:B95)</f>
        <v>53334</v>
      </c>
      <c r="M4" s="21">
        <f>SUM(C65:C95)</f>
        <v>51862</v>
      </c>
      <c r="N4" s="22">
        <f>SUM(D65:D95)</f>
        <v>1472</v>
      </c>
    </row>
    <row r="5" spans="1:16" x14ac:dyDescent="0.4">
      <c r="A5" s="38">
        <v>44318</v>
      </c>
      <c r="B5" s="39">
        <v>153</v>
      </c>
      <c r="C5" s="39">
        <v>151</v>
      </c>
      <c r="D5" s="40">
        <v>2</v>
      </c>
      <c r="E5" s="34"/>
      <c r="F5" s="41"/>
      <c r="G5" s="42"/>
      <c r="H5" s="43"/>
      <c r="I5" s="43"/>
      <c r="K5" s="20" t="s">
        <v>10</v>
      </c>
      <c r="L5" s="21">
        <f>SUM(B96:B126)</f>
        <v>89486</v>
      </c>
      <c r="M5" s="21">
        <f>SUM(C96:C126)</f>
        <v>86667</v>
      </c>
      <c r="N5" s="22">
        <f>SUM(D96:D126)</f>
        <v>2820</v>
      </c>
    </row>
    <row r="6" spans="1:16" x14ac:dyDescent="0.4">
      <c r="A6" s="38">
        <v>44319</v>
      </c>
      <c r="B6" s="39">
        <v>614</v>
      </c>
      <c r="C6" s="39">
        <v>608</v>
      </c>
      <c r="D6" s="40">
        <v>6</v>
      </c>
      <c r="E6" s="34"/>
      <c r="F6" s="41"/>
      <c r="G6" s="42"/>
      <c r="H6" s="43"/>
      <c r="I6" s="43"/>
      <c r="K6" s="20" t="s">
        <v>11</v>
      </c>
      <c r="L6" s="21">
        <f>SUM(B127:B156)</f>
        <v>93422</v>
      </c>
      <c r="M6" s="21">
        <f>SUM(C127:C156)</f>
        <v>90542</v>
      </c>
      <c r="N6" s="22">
        <f>SUM(D127:D156)</f>
        <v>2880</v>
      </c>
    </row>
    <row r="7" spans="1:16" x14ac:dyDescent="0.4">
      <c r="A7" s="38">
        <v>44320</v>
      </c>
      <c r="B7" s="39">
        <v>881</v>
      </c>
      <c r="C7" s="39">
        <v>869</v>
      </c>
      <c r="D7" s="40">
        <v>12</v>
      </c>
      <c r="E7" s="34"/>
      <c r="F7" s="41"/>
      <c r="G7" s="42"/>
      <c r="H7" s="43"/>
      <c r="I7" s="43"/>
      <c r="K7" s="44" t="s">
        <v>12</v>
      </c>
      <c r="L7" s="45">
        <f>SUM(B157:B187)</f>
        <v>51628</v>
      </c>
      <c r="M7" s="45">
        <f>SUM(C157:C187)</f>
        <v>48760</v>
      </c>
      <c r="N7" s="46">
        <f>SUM(D157:D187)</f>
        <v>2868</v>
      </c>
    </row>
    <row r="8" spans="1:16" x14ac:dyDescent="0.4">
      <c r="A8" s="38">
        <v>44321</v>
      </c>
      <c r="B8" s="39">
        <v>454</v>
      </c>
      <c r="C8" s="39">
        <v>448</v>
      </c>
      <c r="D8" s="40">
        <v>6</v>
      </c>
      <c r="E8" s="34"/>
      <c r="F8" s="41"/>
      <c r="G8" s="42"/>
      <c r="H8" s="43"/>
      <c r="I8" s="43"/>
      <c r="K8" s="47" t="s">
        <v>6</v>
      </c>
      <c r="L8" s="48">
        <f>SUM(L2:L7)</f>
        <v>414527</v>
      </c>
      <c r="M8" s="49">
        <f>SUM(M2:M7)</f>
        <v>403196</v>
      </c>
      <c r="N8" s="50">
        <f>SUM(N2:N7)</f>
        <v>11363</v>
      </c>
    </row>
    <row r="9" spans="1:16" x14ac:dyDescent="0.4">
      <c r="A9" s="38">
        <v>44322</v>
      </c>
      <c r="B9" s="39">
        <v>731</v>
      </c>
      <c r="C9" s="39">
        <v>717</v>
      </c>
      <c r="D9" s="40">
        <v>14</v>
      </c>
      <c r="E9" s="34"/>
      <c r="F9" s="51"/>
      <c r="G9" s="42"/>
      <c r="H9" s="43"/>
      <c r="I9" s="43"/>
    </row>
    <row r="10" spans="1:16" x14ac:dyDescent="0.4">
      <c r="A10" s="38">
        <v>44323</v>
      </c>
      <c r="B10" s="39">
        <v>1060</v>
      </c>
      <c r="C10" s="39">
        <v>1041</v>
      </c>
      <c r="D10" s="40">
        <v>19</v>
      </c>
      <c r="E10" s="34"/>
      <c r="F10" s="52" t="s">
        <v>13</v>
      </c>
      <c r="G10" s="36" t="e">
        <f>SUM(#REF!)</f>
        <v>#REF!</v>
      </c>
      <c r="H10" s="37" t="e">
        <f>SUM(#REF!)</f>
        <v>#REF!</v>
      </c>
      <c r="I10" s="37" t="e">
        <f>SUM(#REF!)</f>
        <v>#REF!</v>
      </c>
    </row>
    <row r="11" spans="1:16" x14ac:dyDescent="0.4">
      <c r="A11" s="38">
        <v>44324</v>
      </c>
      <c r="B11" s="39">
        <v>687</v>
      </c>
      <c r="C11" s="39">
        <v>679</v>
      </c>
      <c r="D11" s="40">
        <v>8</v>
      </c>
      <c r="E11" s="34"/>
      <c r="F11" s="53"/>
      <c r="G11" s="42"/>
      <c r="H11" s="43"/>
      <c r="I11" s="43"/>
    </row>
    <row r="12" spans="1:16" x14ac:dyDescent="0.4">
      <c r="A12" s="38">
        <v>44325</v>
      </c>
      <c r="B12" s="39">
        <v>1215</v>
      </c>
      <c r="C12" s="39">
        <v>1198</v>
      </c>
      <c r="D12" s="40">
        <v>17</v>
      </c>
      <c r="E12" s="34"/>
      <c r="F12" s="53"/>
      <c r="G12" s="42"/>
      <c r="H12" s="43"/>
      <c r="I12" s="43"/>
    </row>
    <row r="13" spans="1:16" x14ac:dyDescent="0.4">
      <c r="A13" s="38">
        <v>44326</v>
      </c>
      <c r="B13" s="39">
        <v>1320</v>
      </c>
      <c r="C13" s="39">
        <v>1308</v>
      </c>
      <c r="D13" s="40">
        <v>12</v>
      </c>
      <c r="E13" s="34"/>
      <c r="F13" s="53"/>
      <c r="G13" s="42"/>
      <c r="H13" s="43"/>
      <c r="I13" s="43"/>
    </row>
    <row r="14" spans="1:16" x14ac:dyDescent="0.4">
      <c r="A14" s="38">
        <v>44327</v>
      </c>
      <c r="B14" s="39">
        <v>795</v>
      </c>
      <c r="C14" s="39">
        <v>787</v>
      </c>
      <c r="D14" s="40">
        <v>8</v>
      </c>
      <c r="E14" s="34"/>
      <c r="F14" s="53"/>
      <c r="G14" s="42"/>
      <c r="H14" s="43"/>
      <c r="I14" s="43"/>
    </row>
    <row r="15" spans="1:16" x14ac:dyDescent="0.4">
      <c r="A15" s="38">
        <v>44328</v>
      </c>
      <c r="B15" s="39">
        <v>1051</v>
      </c>
      <c r="C15" s="39">
        <v>1042</v>
      </c>
      <c r="D15" s="40">
        <v>9</v>
      </c>
      <c r="E15" s="34"/>
      <c r="F15" s="53"/>
      <c r="G15" s="42"/>
      <c r="H15" s="43"/>
      <c r="I15" s="43"/>
    </row>
    <row r="16" spans="1:16" x14ac:dyDescent="0.4">
      <c r="A16" s="38">
        <v>44329</v>
      </c>
      <c r="B16" s="39">
        <v>1468</v>
      </c>
      <c r="C16" s="39">
        <v>1449</v>
      </c>
      <c r="D16" s="40">
        <v>19</v>
      </c>
      <c r="E16" s="34"/>
      <c r="F16" s="54"/>
      <c r="G16" s="42"/>
      <c r="H16" s="43"/>
      <c r="I16" s="43"/>
    </row>
    <row r="17" spans="1:9" x14ac:dyDescent="0.4">
      <c r="A17" s="38">
        <v>44330</v>
      </c>
      <c r="B17" s="39">
        <v>1513</v>
      </c>
      <c r="C17" s="39">
        <v>1477</v>
      </c>
      <c r="D17" s="40">
        <v>36</v>
      </c>
      <c r="E17" s="34"/>
      <c r="F17" s="52" t="s">
        <v>14</v>
      </c>
      <c r="G17" s="36">
        <f>SUM(B4:B7)</f>
        <v>2043</v>
      </c>
      <c r="H17" s="37">
        <f>SUM(C4:C7)</f>
        <v>2016</v>
      </c>
      <c r="I17" s="37">
        <f>SUM(D4:D7)</f>
        <v>27</v>
      </c>
    </row>
    <row r="18" spans="1:9" x14ac:dyDescent="0.4">
      <c r="A18" s="38">
        <v>44331</v>
      </c>
      <c r="B18" s="39">
        <v>1524</v>
      </c>
      <c r="C18" s="39">
        <v>1496</v>
      </c>
      <c r="D18" s="40">
        <v>28</v>
      </c>
      <c r="E18" s="34"/>
      <c r="F18" s="53"/>
      <c r="G18" s="42"/>
      <c r="H18" s="43"/>
      <c r="I18" s="43"/>
    </row>
    <row r="19" spans="1:9" x14ac:dyDescent="0.4">
      <c r="A19" s="38">
        <v>44332</v>
      </c>
      <c r="B19" s="39">
        <v>1117</v>
      </c>
      <c r="C19" s="39">
        <v>1094</v>
      </c>
      <c r="D19" s="40">
        <v>23</v>
      </c>
      <c r="E19" s="34"/>
      <c r="F19" s="53"/>
      <c r="G19" s="42"/>
      <c r="H19" s="43"/>
      <c r="I19" s="43"/>
    </row>
    <row r="20" spans="1:9" x14ac:dyDescent="0.4">
      <c r="A20" s="38">
        <v>44333</v>
      </c>
      <c r="B20" s="39">
        <v>1049</v>
      </c>
      <c r="C20" s="39">
        <v>1021</v>
      </c>
      <c r="D20" s="40">
        <v>28</v>
      </c>
      <c r="E20" s="34"/>
      <c r="F20" s="53"/>
      <c r="G20" s="42"/>
      <c r="H20" s="43"/>
      <c r="I20" s="43"/>
    </row>
    <row r="21" spans="1:9" x14ac:dyDescent="0.4">
      <c r="A21" s="38">
        <v>44334</v>
      </c>
      <c r="B21" s="39">
        <v>1072</v>
      </c>
      <c r="C21" s="39">
        <v>1052</v>
      </c>
      <c r="D21" s="40">
        <v>20</v>
      </c>
      <c r="E21" s="34"/>
      <c r="F21" s="53"/>
      <c r="G21" s="42"/>
      <c r="H21" s="43"/>
      <c r="I21" s="43"/>
    </row>
    <row r="22" spans="1:9" x14ac:dyDescent="0.4">
      <c r="A22" s="38">
        <v>44335</v>
      </c>
      <c r="B22" s="39">
        <v>1393</v>
      </c>
      <c r="C22" s="39">
        <v>1369</v>
      </c>
      <c r="D22" s="40">
        <v>24</v>
      </c>
      <c r="E22" s="34"/>
      <c r="F22" s="53"/>
      <c r="G22" s="42"/>
      <c r="H22" s="43"/>
      <c r="I22" s="43"/>
    </row>
    <row r="23" spans="1:9" x14ac:dyDescent="0.4">
      <c r="A23" s="38">
        <v>44336</v>
      </c>
      <c r="B23" s="39">
        <v>1753</v>
      </c>
      <c r="C23" s="39">
        <v>1725</v>
      </c>
      <c r="D23" s="40">
        <v>28</v>
      </c>
      <c r="E23" s="34"/>
      <c r="F23" s="54"/>
      <c r="G23" s="42"/>
      <c r="H23" s="43"/>
      <c r="I23" s="43"/>
    </row>
    <row r="24" spans="1:9" x14ac:dyDescent="0.4">
      <c r="A24" s="38">
        <v>44337</v>
      </c>
      <c r="B24" s="39">
        <v>1440</v>
      </c>
      <c r="C24" s="39">
        <v>1423</v>
      </c>
      <c r="D24" s="40">
        <v>17</v>
      </c>
      <c r="E24" s="34"/>
      <c r="F24" s="52" t="s">
        <v>15</v>
      </c>
      <c r="G24" s="36">
        <f>SUM(B8:B14)</f>
        <v>6262</v>
      </c>
      <c r="H24" s="37">
        <f>SUM(C8:C14)</f>
        <v>6178</v>
      </c>
      <c r="I24" s="37">
        <f>SUM(D8:D14)</f>
        <v>84</v>
      </c>
    </row>
    <row r="25" spans="1:9" x14ac:dyDescent="0.4">
      <c r="A25" s="38">
        <v>44338</v>
      </c>
      <c r="B25" s="39">
        <v>1353</v>
      </c>
      <c r="C25" s="39">
        <v>1341</v>
      </c>
      <c r="D25" s="40">
        <v>12</v>
      </c>
      <c r="E25" s="34"/>
      <c r="F25" s="53"/>
      <c r="G25" s="42"/>
      <c r="H25" s="43"/>
      <c r="I25" s="43"/>
    </row>
    <row r="26" spans="1:9" x14ac:dyDescent="0.4">
      <c r="A26" s="38">
        <v>44339</v>
      </c>
      <c r="B26" s="39">
        <v>1955</v>
      </c>
      <c r="C26" s="39">
        <v>1942</v>
      </c>
      <c r="D26" s="40">
        <v>13</v>
      </c>
      <c r="E26" s="34"/>
      <c r="F26" s="53"/>
      <c r="G26" s="42"/>
      <c r="H26" s="43"/>
      <c r="I26" s="43"/>
    </row>
    <row r="27" spans="1:9" x14ac:dyDescent="0.4">
      <c r="A27" s="38">
        <v>44340</v>
      </c>
      <c r="B27" s="39">
        <v>2267</v>
      </c>
      <c r="C27" s="39">
        <v>2248</v>
      </c>
      <c r="D27" s="40">
        <v>19</v>
      </c>
      <c r="E27" s="34"/>
      <c r="F27" s="53"/>
      <c r="G27" s="42"/>
      <c r="H27" s="43"/>
      <c r="I27" s="43"/>
    </row>
    <row r="28" spans="1:9" x14ac:dyDescent="0.4">
      <c r="A28" s="38">
        <v>44341</v>
      </c>
      <c r="B28" s="39">
        <v>1961</v>
      </c>
      <c r="C28" s="39">
        <v>1949</v>
      </c>
      <c r="D28" s="40">
        <v>12</v>
      </c>
      <c r="E28" s="34"/>
      <c r="F28" s="53"/>
      <c r="G28" s="42"/>
      <c r="H28" s="43"/>
      <c r="I28" s="43"/>
    </row>
    <row r="29" spans="1:9" x14ac:dyDescent="0.4">
      <c r="A29" s="38">
        <v>44342</v>
      </c>
      <c r="B29" s="39">
        <v>1721</v>
      </c>
      <c r="C29" s="39">
        <v>1692</v>
      </c>
      <c r="D29" s="40">
        <v>29</v>
      </c>
      <c r="E29" s="34"/>
      <c r="F29" s="53"/>
      <c r="G29" s="42"/>
      <c r="H29" s="43"/>
      <c r="I29" s="43"/>
    </row>
    <row r="30" spans="1:9" x14ac:dyDescent="0.4">
      <c r="A30" s="38">
        <v>44343</v>
      </c>
      <c r="B30" s="39">
        <v>2568</v>
      </c>
      <c r="C30" s="39">
        <v>2532</v>
      </c>
      <c r="D30" s="40">
        <v>36</v>
      </c>
      <c r="E30" s="34"/>
      <c r="F30" s="54"/>
      <c r="G30" s="42"/>
      <c r="H30" s="43"/>
      <c r="I30" s="43"/>
    </row>
    <row r="31" spans="1:9" x14ac:dyDescent="0.4">
      <c r="A31" s="38">
        <v>44344</v>
      </c>
      <c r="B31" s="39">
        <v>1962</v>
      </c>
      <c r="C31" s="39">
        <v>1939</v>
      </c>
      <c r="D31" s="40">
        <v>23</v>
      </c>
      <c r="E31" s="34"/>
      <c r="F31" s="52" t="s">
        <v>16</v>
      </c>
      <c r="G31" s="36">
        <f>SUM(B15:B21)</f>
        <v>8794</v>
      </c>
      <c r="H31" s="37">
        <f t="shared" ref="H31:I31" si="1">SUM(C15:C21)</f>
        <v>8631</v>
      </c>
      <c r="I31" s="37">
        <f t="shared" si="1"/>
        <v>163</v>
      </c>
    </row>
    <row r="32" spans="1:9" x14ac:dyDescent="0.4">
      <c r="A32" s="38">
        <v>44345</v>
      </c>
      <c r="B32" s="39">
        <v>2361</v>
      </c>
      <c r="C32" s="39">
        <v>2337</v>
      </c>
      <c r="D32" s="40">
        <v>24</v>
      </c>
      <c r="E32" s="34"/>
      <c r="F32" s="53"/>
      <c r="G32" s="42"/>
      <c r="H32" s="43"/>
      <c r="I32" s="43"/>
    </row>
    <row r="33" spans="1:9" x14ac:dyDescent="0.4">
      <c r="A33" s="38">
        <v>44346</v>
      </c>
      <c r="B33" s="39">
        <v>1898</v>
      </c>
      <c r="C33" s="39">
        <v>1883</v>
      </c>
      <c r="D33" s="40">
        <v>15</v>
      </c>
      <c r="E33" s="34"/>
      <c r="F33" s="53"/>
      <c r="G33" s="42"/>
      <c r="H33" s="43"/>
      <c r="I33" s="43"/>
    </row>
    <row r="34" spans="1:9" x14ac:dyDescent="0.4">
      <c r="A34" s="38">
        <v>44347</v>
      </c>
      <c r="B34" s="39">
        <v>2614</v>
      </c>
      <c r="C34" s="39">
        <v>2586</v>
      </c>
      <c r="D34" s="40">
        <v>28</v>
      </c>
      <c r="E34" s="34"/>
      <c r="F34" s="53"/>
      <c r="G34" s="42"/>
      <c r="H34" s="43"/>
      <c r="I34" s="43"/>
    </row>
    <row r="35" spans="1:9" x14ac:dyDescent="0.4">
      <c r="A35" s="38">
        <v>44348</v>
      </c>
      <c r="B35" s="39">
        <v>3094</v>
      </c>
      <c r="C35" s="39">
        <v>3068</v>
      </c>
      <c r="D35" s="40">
        <v>26</v>
      </c>
      <c r="E35" s="34"/>
      <c r="F35" s="53"/>
      <c r="G35" s="42"/>
      <c r="H35" s="43"/>
      <c r="I35" s="43"/>
    </row>
    <row r="36" spans="1:9" x14ac:dyDescent="0.4">
      <c r="A36" s="38">
        <v>44349</v>
      </c>
      <c r="B36" s="39">
        <v>3016</v>
      </c>
      <c r="C36" s="39">
        <v>2988</v>
      </c>
      <c r="D36" s="40">
        <v>28</v>
      </c>
      <c r="E36" s="34"/>
      <c r="F36" s="53"/>
      <c r="G36" s="42"/>
      <c r="H36" s="43"/>
      <c r="I36" s="43"/>
    </row>
    <row r="37" spans="1:9" x14ac:dyDescent="0.4">
      <c r="A37" s="38">
        <v>44350</v>
      </c>
      <c r="B37" s="39">
        <v>3306</v>
      </c>
      <c r="C37" s="39">
        <v>3264</v>
      </c>
      <c r="D37" s="40">
        <v>42</v>
      </c>
      <c r="E37" s="34"/>
      <c r="F37" s="54"/>
      <c r="G37" s="42"/>
      <c r="H37" s="43"/>
      <c r="I37" s="43"/>
    </row>
    <row r="38" spans="1:9" x14ac:dyDescent="0.4">
      <c r="A38" s="38">
        <v>44351</v>
      </c>
      <c r="B38" s="39">
        <v>1934</v>
      </c>
      <c r="C38" s="39">
        <v>1898</v>
      </c>
      <c r="D38" s="40">
        <v>36</v>
      </c>
      <c r="E38" s="34"/>
      <c r="F38" s="52" t="s">
        <v>17</v>
      </c>
      <c r="G38" s="36">
        <f t="shared" ref="G38:I38" si="2">SUM(B22:B28)</f>
        <v>12122</v>
      </c>
      <c r="H38" s="37">
        <f t="shared" si="2"/>
        <v>11997</v>
      </c>
      <c r="I38" s="37">
        <f t="shared" si="2"/>
        <v>125</v>
      </c>
    </row>
    <row r="39" spans="1:9" x14ac:dyDescent="0.4">
      <c r="A39" s="38">
        <v>44352</v>
      </c>
      <c r="B39" s="39">
        <v>2893</v>
      </c>
      <c r="C39" s="39">
        <v>2862</v>
      </c>
      <c r="D39" s="40">
        <v>31</v>
      </c>
      <c r="E39" s="34"/>
      <c r="F39" s="53"/>
      <c r="G39" s="42"/>
      <c r="H39" s="43"/>
      <c r="I39" s="43"/>
    </row>
    <row r="40" spans="1:9" x14ac:dyDescent="0.4">
      <c r="A40" s="38">
        <v>44353</v>
      </c>
      <c r="B40" s="39">
        <v>3035</v>
      </c>
      <c r="C40" s="39">
        <v>3018</v>
      </c>
      <c r="D40" s="40">
        <v>18</v>
      </c>
      <c r="E40" s="34"/>
      <c r="F40" s="53"/>
      <c r="G40" s="42"/>
      <c r="H40" s="43"/>
      <c r="I40" s="43"/>
    </row>
    <row r="41" spans="1:9" x14ac:dyDescent="0.4">
      <c r="A41" s="38">
        <v>44354</v>
      </c>
      <c r="B41" s="39">
        <v>3302</v>
      </c>
      <c r="C41" s="39">
        <v>3282</v>
      </c>
      <c r="D41" s="40">
        <v>40</v>
      </c>
      <c r="E41" s="34"/>
      <c r="F41" s="53"/>
      <c r="G41" s="42"/>
      <c r="H41" s="43"/>
      <c r="I41" s="43"/>
    </row>
    <row r="42" spans="1:9" x14ac:dyDescent="0.4">
      <c r="A42" s="38">
        <v>44355</v>
      </c>
      <c r="B42" s="39">
        <v>3180</v>
      </c>
      <c r="C42" s="39">
        <v>3151</v>
      </c>
      <c r="D42" s="40">
        <v>29</v>
      </c>
      <c r="E42" s="34"/>
      <c r="F42" s="53"/>
      <c r="G42" s="42"/>
      <c r="H42" s="43"/>
      <c r="I42" s="43"/>
    </row>
    <row r="43" spans="1:9" x14ac:dyDescent="0.4">
      <c r="A43" s="38">
        <v>44356</v>
      </c>
      <c r="B43" s="39">
        <v>3661</v>
      </c>
      <c r="C43" s="39">
        <v>3653</v>
      </c>
      <c r="D43" s="40">
        <v>18</v>
      </c>
      <c r="E43" s="34"/>
      <c r="F43" s="53"/>
      <c r="G43" s="42"/>
      <c r="H43" s="43"/>
      <c r="I43" s="43"/>
    </row>
    <row r="44" spans="1:9" x14ac:dyDescent="0.4">
      <c r="A44" s="38">
        <v>44357</v>
      </c>
      <c r="B44" s="39">
        <v>4007</v>
      </c>
      <c r="C44" s="39">
        <v>3977</v>
      </c>
      <c r="D44" s="40">
        <v>30</v>
      </c>
      <c r="E44" s="34"/>
      <c r="F44" s="54"/>
      <c r="G44" s="42"/>
      <c r="H44" s="43"/>
      <c r="I44" s="43"/>
    </row>
    <row r="45" spans="1:9" x14ac:dyDescent="0.4">
      <c r="A45" s="38">
        <v>44358</v>
      </c>
      <c r="B45" s="39">
        <v>3292</v>
      </c>
      <c r="C45" s="39">
        <v>3280</v>
      </c>
      <c r="D45" s="40">
        <v>12</v>
      </c>
      <c r="E45" s="34"/>
      <c r="F45" s="52" t="s">
        <v>18</v>
      </c>
      <c r="G45" s="36">
        <f t="shared" ref="G45:I45" si="3">SUM(B29:B35)</f>
        <v>16218</v>
      </c>
      <c r="H45" s="37">
        <f t="shared" si="3"/>
        <v>16037</v>
      </c>
      <c r="I45" s="37">
        <f t="shared" si="3"/>
        <v>181</v>
      </c>
    </row>
    <row r="46" spans="1:9" x14ac:dyDescent="0.4">
      <c r="A46" s="38">
        <v>44359</v>
      </c>
      <c r="B46" s="39">
        <v>3574</v>
      </c>
      <c r="C46" s="39">
        <v>3544</v>
      </c>
      <c r="D46" s="40">
        <v>30</v>
      </c>
      <c r="E46" s="34"/>
      <c r="F46" s="53"/>
      <c r="G46" s="42"/>
      <c r="H46" s="43"/>
      <c r="I46" s="43"/>
    </row>
    <row r="47" spans="1:9" x14ac:dyDescent="0.4">
      <c r="A47" s="38">
        <v>44360</v>
      </c>
      <c r="B47" s="39">
        <v>3568</v>
      </c>
      <c r="C47" s="39">
        <v>3550</v>
      </c>
      <c r="D47" s="40">
        <v>18</v>
      </c>
      <c r="E47" s="34"/>
      <c r="F47" s="53"/>
      <c r="G47" s="42"/>
      <c r="H47" s="43"/>
      <c r="I47" s="43"/>
    </row>
    <row r="48" spans="1:9" x14ac:dyDescent="0.4">
      <c r="A48" s="38">
        <v>44361</v>
      </c>
      <c r="B48" s="39">
        <v>3146</v>
      </c>
      <c r="C48" s="39">
        <v>3108</v>
      </c>
      <c r="D48" s="40">
        <v>38</v>
      </c>
      <c r="E48" s="34"/>
      <c r="F48" s="53"/>
      <c r="G48" s="42"/>
      <c r="H48" s="43"/>
      <c r="I48" s="43"/>
    </row>
    <row r="49" spans="1:9" x14ac:dyDescent="0.4">
      <c r="A49" s="38">
        <v>44362</v>
      </c>
      <c r="B49" s="39">
        <v>2913</v>
      </c>
      <c r="C49" s="39">
        <v>2896</v>
      </c>
      <c r="D49" s="40">
        <v>17</v>
      </c>
      <c r="E49" s="34"/>
      <c r="F49" s="53"/>
      <c r="G49" s="42"/>
      <c r="H49" s="43"/>
      <c r="I49" s="43"/>
    </row>
    <row r="50" spans="1:9" x14ac:dyDescent="0.4">
      <c r="A50" s="38">
        <v>44363</v>
      </c>
      <c r="B50" s="39">
        <v>2832</v>
      </c>
      <c r="C50" s="39">
        <v>2812</v>
      </c>
      <c r="D50" s="40">
        <v>20</v>
      </c>
      <c r="E50" s="34"/>
      <c r="F50" s="53"/>
      <c r="G50" s="42"/>
      <c r="H50" s="43"/>
      <c r="I50" s="43"/>
    </row>
    <row r="51" spans="1:9" x14ac:dyDescent="0.4">
      <c r="A51" s="38">
        <v>44364</v>
      </c>
      <c r="B51" s="39">
        <v>2499</v>
      </c>
      <c r="C51" s="39">
        <v>2473</v>
      </c>
      <c r="D51" s="40">
        <v>26</v>
      </c>
      <c r="E51" s="34"/>
      <c r="F51" s="54"/>
      <c r="G51" s="42"/>
      <c r="H51" s="43"/>
      <c r="I51" s="43"/>
    </row>
    <row r="52" spans="1:9" x14ac:dyDescent="0.4">
      <c r="A52" s="38">
        <v>44365</v>
      </c>
      <c r="B52" s="39">
        <v>2105</v>
      </c>
      <c r="C52" s="39">
        <v>2080</v>
      </c>
      <c r="D52" s="40">
        <v>25</v>
      </c>
      <c r="E52" s="34"/>
      <c r="F52" s="52" t="s">
        <v>19</v>
      </c>
      <c r="G52" s="36">
        <f t="shared" ref="G52:I52" si="4">SUM(B36:B42)</f>
        <v>20666</v>
      </c>
      <c r="H52" s="37">
        <f t="shared" si="4"/>
        <v>20463</v>
      </c>
      <c r="I52" s="37">
        <f t="shared" si="4"/>
        <v>224</v>
      </c>
    </row>
    <row r="53" spans="1:9" x14ac:dyDescent="0.4">
      <c r="A53" s="38">
        <v>44366</v>
      </c>
      <c r="B53" s="39">
        <v>2343</v>
      </c>
      <c r="C53" s="39">
        <v>2317</v>
      </c>
      <c r="D53" s="40">
        <v>26</v>
      </c>
      <c r="E53" s="34"/>
      <c r="F53" s="53"/>
      <c r="G53" s="42"/>
      <c r="H53" s="43"/>
      <c r="I53" s="43"/>
    </row>
    <row r="54" spans="1:9" x14ac:dyDescent="0.4">
      <c r="A54" s="38">
        <v>44367</v>
      </c>
      <c r="B54" s="39">
        <v>2697</v>
      </c>
      <c r="C54" s="39">
        <v>2673</v>
      </c>
      <c r="D54" s="40">
        <v>24</v>
      </c>
      <c r="E54" s="34"/>
      <c r="F54" s="53"/>
      <c r="G54" s="42"/>
      <c r="H54" s="43"/>
      <c r="I54" s="43"/>
    </row>
    <row r="55" spans="1:9" x14ac:dyDescent="0.4">
      <c r="A55" s="38">
        <v>44368</v>
      </c>
      <c r="B55" s="39">
        <v>2621</v>
      </c>
      <c r="C55" s="39">
        <v>2605</v>
      </c>
      <c r="D55" s="40">
        <v>16</v>
      </c>
      <c r="E55" s="34"/>
      <c r="F55" s="53"/>
      <c r="G55" s="42"/>
      <c r="H55" s="43"/>
      <c r="I55" s="43"/>
    </row>
    <row r="56" spans="1:9" x14ac:dyDescent="0.4">
      <c r="A56" s="38">
        <v>44369</v>
      </c>
      <c r="B56" s="39">
        <v>3010</v>
      </c>
      <c r="C56" s="39">
        <v>2982</v>
      </c>
      <c r="D56" s="40">
        <v>28</v>
      </c>
      <c r="E56" s="34"/>
      <c r="F56" s="53"/>
      <c r="G56" s="42"/>
      <c r="H56" s="43"/>
      <c r="I56" s="43"/>
    </row>
    <row r="57" spans="1:9" x14ac:dyDescent="0.4">
      <c r="A57" s="38">
        <v>44370</v>
      </c>
      <c r="B57" s="39">
        <v>2706</v>
      </c>
      <c r="C57" s="39">
        <v>2683</v>
      </c>
      <c r="D57" s="40">
        <v>23</v>
      </c>
      <c r="E57" s="34"/>
      <c r="F57" s="53"/>
      <c r="G57" s="42"/>
      <c r="H57" s="43"/>
      <c r="I57" s="43"/>
    </row>
    <row r="58" spans="1:9" x14ac:dyDescent="0.4">
      <c r="A58" s="38">
        <v>44371</v>
      </c>
      <c r="B58" s="39">
        <v>2649</v>
      </c>
      <c r="C58" s="39">
        <v>2624</v>
      </c>
      <c r="D58" s="40">
        <v>25</v>
      </c>
      <c r="E58" s="34"/>
      <c r="F58" s="54"/>
      <c r="G58" s="42"/>
      <c r="H58" s="43"/>
      <c r="I58" s="43"/>
    </row>
    <row r="59" spans="1:9" x14ac:dyDescent="0.4">
      <c r="A59" s="38">
        <v>44372</v>
      </c>
      <c r="B59" s="39">
        <v>3377</v>
      </c>
      <c r="C59" s="39">
        <v>3341</v>
      </c>
      <c r="D59" s="40">
        <v>36</v>
      </c>
      <c r="E59" s="34"/>
      <c r="F59" s="52" t="s">
        <v>20</v>
      </c>
      <c r="G59" s="36">
        <f t="shared" ref="G59:I59" si="5">SUM(B43:B49)</f>
        <v>24161</v>
      </c>
      <c r="H59" s="37">
        <f t="shared" si="5"/>
        <v>24008</v>
      </c>
      <c r="I59" s="37">
        <f t="shared" si="5"/>
        <v>163</v>
      </c>
    </row>
    <row r="60" spans="1:9" x14ac:dyDescent="0.4">
      <c r="A60" s="38">
        <v>44373</v>
      </c>
      <c r="B60" s="39">
        <v>3276</v>
      </c>
      <c r="C60" s="39">
        <v>3241</v>
      </c>
      <c r="D60" s="40">
        <v>35</v>
      </c>
      <c r="E60" s="34"/>
      <c r="F60" s="53"/>
      <c r="G60" s="42"/>
      <c r="H60" s="43"/>
      <c r="I60" s="43"/>
    </row>
    <row r="61" spans="1:9" x14ac:dyDescent="0.4">
      <c r="A61" s="38">
        <v>44374</v>
      </c>
      <c r="B61" s="39">
        <v>3070</v>
      </c>
      <c r="C61" s="39">
        <v>3036</v>
      </c>
      <c r="D61" s="40">
        <v>34</v>
      </c>
      <c r="E61" s="34"/>
      <c r="F61" s="53"/>
      <c r="G61" s="42"/>
      <c r="H61" s="43"/>
      <c r="I61" s="43"/>
    </row>
    <row r="62" spans="1:9" x14ac:dyDescent="0.4">
      <c r="A62" s="38">
        <v>44375</v>
      </c>
      <c r="B62" s="39">
        <v>2941</v>
      </c>
      <c r="C62" s="39">
        <v>2906</v>
      </c>
      <c r="D62" s="40">
        <v>35</v>
      </c>
      <c r="E62" s="34"/>
      <c r="F62" s="53"/>
      <c r="G62" s="42"/>
      <c r="H62" s="43"/>
      <c r="I62" s="43"/>
    </row>
    <row r="63" spans="1:9" x14ac:dyDescent="0.4">
      <c r="A63" s="38">
        <v>44376</v>
      </c>
      <c r="B63" s="39">
        <v>265</v>
      </c>
      <c r="C63" s="39">
        <v>262</v>
      </c>
      <c r="D63" s="40">
        <v>3</v>
      </c>
      <c r="E63" s="34"/>
      <c r="F63" s="53"/>
      <c r="G63" s="42"/>
      <c r="H63" s="43"/>
      <c r="I63" s="43"/>
    </row>
    <row r="64" spans="1:9" x14ac:dyDescent="0.4">
      <c r="A64" s="38">
        <v>44377</v>
      </c>
      <c r="B64" s="39"/>
      <c r="C64" s="39"/>
      <c r="D64" s="40"/>
      <c r="E64" s="34"/>
      <c r="F64" s="53"/>
      <c r="G64" s="42"/>
      <c r="H64" s="43"/>
      <c r="I64" s="43"/>
    </row>
    <row r="65" spans="1:9" x14ac:dyDescent="0.4">
      <c r="A65" s="38">
        <v>44378</v>
      </c>
      <c r="B65" s="39"/>
      <c r="C65" s="39"/>
      <c r="D65" s="40"/>
      <c r="E65" s="34"/>
      <c r="F65" s="54"/>
      <c r="G65" s="42"/>
      <c r="H65" s="43"/>
      <c r="I65" s="43"/>
    </row>
    <row r="66" spans="1:9" x14ac:dyDescent="0.4">
      <c r="A66" s="38">
        <v>44379</v>
      </c>
      <c r="B66" s="39"/>
      <c r="C66" s="39"/>
      <c r="D66" s="40"/>
      <c r="E66" s="34"/>
      <c r="F66" s="52" t="s">
        <v>21</v>
      </c>
      <c r="G66" s="36">
        <f t="shared" ref="G66:I66" si="6">SUM(B50:B56)</f>
        <v>18107</v>
      </c>
      <c r="H66" s="37">
        <f t="shared" si="6"/>
        <v>17942</v>
      </c>
      <c r="I66" s="37">
        <f t="shared" si="6"/>
        <v>165</v>
      </c>
    </row>
    <row r="67" spans="1:9" x14ac:dyDescent="0.4">
      <c r="A67" s="38">
        <v>44380</v>
      </c>
      <c r="B67" s="39"/>
      <c r="C67" s="39"/>
      <c r="D67" s="40"/>
      <c r="E67" s="34"/>
      <c r="F67" s="53"/>
      <c r="G67" s="42"/>
      <c r="H67" s="43"/>
      <c r="I67" s="43"/>
    </row>
    <row r="68" spans="1:9" x14ac:dyDescent="0.4">
      <c r="A68" s="38">
        <v>44381</v>
      </c>
      <c r="B68" s="39"/>
      <c r="C68" s="39"/>
      <c r="D68" s="40"/>
      <c r="E68" s="34"/>
      <c r="F68" s="53"/>
      <c r="G68" s="42"/>
      <c r="H68" s="43"/>
      <c r="I68" s="43"/>
    </row>
    <row r="69" spans="1:9" x14ac:dyDescent="0.4">
      <c r="A69" s="38">
        <v>44382</v>
      </c>
      <c r="B69" s="39"/>
      <c r="C69" s="39"/>
      <c r="D69" s="40"/>
      <c r="E69" s="34"/>
      <c r="F69" s="53"/>
      <c r="G69" s="42"/>
      <c r="H69" s="43"/>
      <c r="I69" s="43"/>
    </row>
    <row r="70" spans="1:9" x14ac:dyDescent="0.4">
      <c r="A70" s="38">
        <v>44383</v>
      </c>
      <c r="B70" s="39"/>
      <c r="C70" s="39"/>
      <c r="D70" s="40"/>
      <c r="E70" s="34"/>
      <c r="F70" s="53"/>
      <c r="G70" s="42"/>
      <c r="H70" s="43"/>
      <c r="I70" s="43"/>
    </row>
    <row r="71" spans="1:9" x14ac:dyDescent="0.4">
      <c r="A71" s="38">
        <v>44384</v>
      </c>
      <c r="B71" s="39"/>
      <c r="C71" s="39"/>
      <c r="D71" s="40"/>
      <c r="E71" s="34"/>
      <c r="F71" s="53"/>
      <c r="G71" s="42"/>
      <c r="H71" s="43"/>
      <c r="I71" s="43"/>
    </row>
    <row r="72" spans="1:9" x14ac:dyDescent="0.4">
      <c r="A72" s="38">
        <v>44385</v>
      </c>
      <c r="B72" s="39"/>
      <c r="C72" s="39"/>
      <c r="D72" s="40"/>
      <c r="E72" s="34"/>
      <c r="F72" s="54"/>
      <c r="G72" s="42"/>
      <c r="H72" s="43"/>
      <c r="I72" s="43"/>
    </row>
    <row r="73" spans="1:9" x14ac:dyDescent="0.4">
      <c r="A73" s="38">
        <v>44386</v>
      </c>
      <c r="B73" s="39"/>
      <c r="C73" s="39"/>
      <c r="D73" s="40"/>
      <c r="E73" s="34"/>
      <c r="F73" s="52" t="s">
        <v>22</v>
      </c>
      <c r="G73" s="36">
        <f t="shared" ref="G73:I73" si="7">SUM(B57:B63)</f>
        <v>18284</v>
      </c>
      <c r="H73" s="37">
        <f t="shared" si="7"/>
        <v>18093</v>
      </c>
      <c r="I73" s="37">
        <f t="shared" si="7"/>
        <v>191</v>
      </c>
    </row>
    <row r="74" spans="1:9" x14ac:dyDescent="0.4">
      <c r="A74" s="38">
        <v>44387</v>
      </c>
      <c r="B74" s="39"/>
      <c r="C74" s="39"/>
      <c r="D74" s="40"/>
      <c r="E74" s="34"/>
      <c r="F74" s="53"/>
      <c r="G74" s="42"/>
      <c r="H74" s="43"/>
      <c r="I74" s="43"/>
    </row>
    <row r="75" spans="1:9" x14ac:dyDescent="0.4">
      <c r="A75" s="38">
        <v>44388</v>
      </c>
      <c r="B75" s="39"/>
      <c r="C75" s="39"/>
      <c r="D75" s="40"/>
      <c r="E75" s="34"/>
      <c r="F75" s="53"/>
      <c r="G75" s="42"/>
      <c r="H75" s="43"/>
      <c r="I75" s="43"/>
    </row>
    <row r="76" spans="1:9" x14ac:dyDescent="0.4">
      <c r="A76" s="38">
        <v>44389</v>
      </c>
      <c r="B76" s="39">
        <v>0</v>
      </c>
      <c r="C76" s="39">
        <v>0</v>
      </c>
      <c r="D76" s="40">
        <v>0</v>
      </c>
      <c r="E76" s="34"/>
      <c r="F76" s="53"/>
      <c r="G76" s="42"/>
      <c r="H76" s="43"/>
      <c r="I76" s="43"/>
    </row>
    <row r="77" spans="1:9" x14ac:dyDescent="0.4">
      <c r="A77" s="38">
        <v>44390</v>
      </c>
      <c r="B77" s="39">
        <v>0</v>
      </c>
      <c r="C77" s="39">
        <v>0</v>
      </c>
      <c r="D77" s="40">
        <v>0</v>
      </c>
      <c r="E77" s="34"/>
      <c r="F77" s="53"/>
      <c r="G77" s="42"/>
      <c r="H77" s="43"/>
      <c r="I77" s="43"/>
    </row>
    <row r="78" spans="1:9" x14ac:dyDescent="0.4">
      <c r="A78" s="38">
        <v>44391</v>
      </c>
      <c r="B78" s="39">
        <v>787</v>
      </c>
      <c r="C78" s="39">
        <v>780</v>
      </c>
      <c r="D78" s="40">
        <v>7</v>
      </c>
      <c r="E78" s="34"/>
      <c r="F78" s="53"/>
      <c r="G78" s="42"/>
      <c r="H78" s="43"/>
      <c r="I78" s="43"/>
    </row>
    <row r="79" spans="1:9" x14ac:dyDescent="0.4">
      <c r="A79" s="38">
        <v>44392</v>
      </c>
      <c r="B79" s="39">
        <v>2055</v>
      </c>
      <c r="C79" s="39">
        <v>2025</v>
      </c>
      <c r="D79" s="40">
        <v>30</v>
      </c>
      <c r="E79" s="34"/>
      <c r="F79" s="54"/>
      <c r="G79" s="42"/>
      <c r="H79" s="43"/>
      <c r="I79" s="43"/>
    </row>
    <row r="80" spans="1:9" x14ac:dyDescent="0.4">
      <c r="A80" s="38">
        <v>44393</v>
      </c>
      <c r="B80" s="39">
        <v>2425</v>
      </c>
      <c r="C80" s="39">
        <v>2390</v>
      </c>
      <c r="D80" s="40">
        <v>35</v>
      </c>
      <c r="E80" s="34"/>
      <c r="F80" s="52" t="s">
        <v>23</v>
      </c>
      <c r="G80" s="36">
        <f t="shared" ref="G80:I80" si="8">SUM(B64:B70)</f>
        <v>0</v>
      </c>
      <c r="H80" s="37">
        <f t="shared" si="8"/>
        <v>0</v>
      </c>
      <c r="I80" s="37">
        <f t="shared" si="8"/>
        <v>0</v>
      </c>
    </row>
    <row r="81" spans="1:9" x14ac:dyDescent="0.4">
      <c r="A81" s="38">
        <v>44394</v>
      </c>
      <c r="B81" s="39">
        <v>3679</v>
      </c>
      <c r="C81" s="39">
        <v>3614</v>
      </c>
      <c r="D81" s="40">
        <v>65</v>
      </c>
      <c r="E81" s="34"/>
      <c r="F81" s="53"/>
      <c r="G81" s="42"/>
      <c r="H81" s="43"/>
      <c r="I81" s="43"/>
    </row>
    <row r="82" spans="1:9" x14ac:dyDescent="0.4">
      <c r="A82" s="38">
        <v>44395</v>
      </c>
      <c r="B82" s="39">
        <v>3654</v>
      </c>
      <c r="C82" s="39">
        <v>3580</v>
      </c>
      <c r="D82" s="40">
        <v>74</v>
      </c>
      <c r="E82" s="34"/>
      <c r="F82" s="53"/>
      <c r="G82" s="42"/>
      <c r="H82" s="43"/>
      <c r="I82" s="43"/>
    </row>
    <row r="83" spans="1:9" x14ac:dyDescent="0.4">
      <c r="A83" s="38">
        <v>44396</v>
      </c>
      <c r="B83" s="39">
        <v>3715</v>
      </c>
      <c r="C83" s="39">
        <v>3635</v>
      </c>
      <c r="D83" s="40">
        <v>80</v>
      </c>
      <c r="E83" s="34"/>
      <c r="F83" s="53"/>
      <c r="G83" s="42"/>
      <c r="H83" s="43"/>
      <c r="I83" s="43"/>
    </row>
    <row r="84" spans="1:9" x14ac:dyDescent="0.4">
      <c r="A84" s="38">
        <v>44397</v>
      </c>
      <c r="B84" s="39">
        <v>3235</v>
      </c>
      <c r="C84" s="39">
        <v>3147</v>
      </c>
      <c r="D84" s="40">
        <v>88</v>
      </c>
      <c r="E84" s="34"/>
      <c r="F84" s="53"/>
      <c r="G84" s="42"/>
      <c r="H84" s="43"/>
      <c r="I84" s="43"/>
    </row>
    <row r="85" spans="1:9" x14ac:dyDescent="0.4">
      <c r="A85" s="38">
        <v>44398</v>
      </c>
      <c r="B85" s="39">
        <v>3426</v>
      </c>
      <c r="C85" s="39">
        <v>3322</v>
      </c>
      <c r="D85" s="40">
        <v>104</v>
      </c>
      <c r="E85" s="34"/>
      <c r="F85" s="53"/>
      <c r="G85" s="42"/>
      <c r="H85" s="43"/>
      <c r="I85" s="43"/>
    </row>
    <row r="86" spans="1:9" x14ac:dyDescent="0.4">
      <c r="A86" s="38">
        <v>44399</v>
      </c>
      <c r="B86" s="39">
        <v>3278</v>
      </c>
      <c r="C86" s="39">
        <v>3194</v>
      </c>
      <c r="D86" s="40">
        <v>84</v>
      </c>
      <c r="E86" s="34"/>
      <c r="F86" s="54"/>
      <c r="G86" s="42"/>
      <c r="H86" s="43"/>
      <c r="I86" s="43"/>
    </row>
    <row r="87" spans="1:9" x14ac:dyDescent="0.4">
      <c r="A87" s="38">
        <v>44400</v>
      </c>
      <c r="B87" s="39">
        <v>3140</v>
      </c>
      <c r="C87" s="39">
        <v>3052</v>
      </c>
      <c r="D87" s="40">
        <v>88</v>
      </c>
      <c r="E87" s="34"/>
      <c r="F87" s="52" t="s">
        <v>24</v>
      </c>
      <c r="G87" s="36">
        <f t="shared" ref="G87:I87" si="9">SUM(B71:B77)</f>
        <v>0</v>
      </c>
      <c r="H87" s="37">
        <f t="shared" si="9"/>
        <v>0</v>
      </c>
      <c r="I87" s="37">
        <f t="shared" si="9"/>
        <v>0</v>
      </c>
    </row>
    <row r="88" spans="1:9" x14ac:dyDescent="0.4">
      <c r="A88" s="38">
        <v>44401</v>
      </c>
      <c r="B88" s="39">
        <v>3251</v>
      </c>
      <c r="C88" s="39">
        <v>3146</v>
      </c>
      <c r="D88" s="40">
        <v>105</v>
      </c>
      <c r="E88" s="34"/>
      <c r="F88" s="53"/>
      <c r="G88" s="42"/>
      <c r="H88" s="43"/>
      <c r="I88" s="43"/>
    </row>
    <row r="89" spans="1:9" x14ac:dyDescent="0.4">
      <c r="A89" s="38">
        <v>44402</v>
      </c>
      <c r="B89" s="39">
        <v>3368</v>
      </c>
      <c r="C89" s="39">
        <v>3274</v>
      </c>
      <c r="D89" s="40">
        <v>94</v>
      </c>
      <c r="E89" s="34"/>
      <c r="F89" s="53"/>
      <c r="G89" s="42"/>
      <c r="H89" s="43"/>
      <c r="I89" s="43"/>
    </row>
    <row r="90" spans="1:9" x14ac:dyDescent="0.4">
      <c r="A90" s="38">
        <v>44403</v>
      </c>
      <c r="B90" s="39">
        <v>3041</v>
      </c>
      <c r="C90" s="39">
        <v>2952</v>
      </c>
      <c r="D90" s="40">
        <v>89</v>
      </c>
      <c r="E90" s="34"/>
      <c r="F90" s="53"/>
      <c r="G90" s="42"/>
      <c r="H90" s="43"/>
      <c r="I90" s="43"/>
    </row>
    <row r="91" spans="1:9" x14ac:dyDescent="0.4">
      <c r="A91" s="38">
        <v>44404</v>
      </c>
      <c r="B91" s="39">
        <v>2719</v>
      </c>
      <c r="C91" s="39">
        <v>2628</v>
      </c>
      <c r="D91" s="40">
        <v>91</v>
      </c>
      <c r="E91" s="34"/>
      <c r="F91" s="53"/>
      <c r="G91" s="42"/>
      <c r="H91" s="43"/>
      <c r="I91" s="43"/>
    </row>
    <row r="92" spans="1:9" x14ac:dyDescent="0.4">
      <c r="A92" s="38">
        <v>44405</v>
      </c>
      <c r="B92" s="39">
        <v>3080</v>
      </c>
      <c r="C92" s="39">
        <v>2982</v>
      </c>
      <c r="D92" s="40">
        <v>98</v>
      </c>
      <c r="E92" s="34"/>
      <c r="F92" s="53"/>
      <c r="G92" s="42"/>
      <c r="H92" s="43"/>
      <c r="I92" s="43"/>
    </row>
    <row r="93" spans="1:9" x14ac:dyDescent="0.4">
      <c r="A93" s="38">
        <v>44406</v>
      </c>
      <c r="B93" s="39">
        <v>3045</v>
      </c>
      <c r="C93" s="39">
        <v>2927</v>
      </c>
      <c r="D93" s="40">
        <v>118</v>
      </c>
      <c r="E93" s="34"/>
      <c r="F93" s="54"/>
      <c r="G93" s="42"/>
      <c r="H93" s="43"/>
      <c r="I93" s="43"/>
    </row>
    <row r="94" spans="1:9" x14ac:dyDescent="0.4">
      <c r="A94" s="38">
        <v>44407</v>
      </c>
      <c r="B94" s="39">
        <v>3034</v>
      </c>
      <c r="C94" s="39">
        <v>2925</v>
      </c>
      <c r="D94" s="40">
        <v>109</v>
      </c>
      <c r="E94" s="34"/>
      <c r="F94" s="52" t="s">
        <v>25</v>
      </c>
      <c r="G94" s="36">
        <f t="shared" ref="G94:I94" si="10">SUM(B78:B84)</f>
        <v>19550</v>
      </c>
      <c r="H94" s="37">
        <f t="shared" si="10"/>
        <v>19171</v>
      </c>
      <c r="I94" s="37">
        <f t="shared" si="10"/>
        <v>379</v>
      </c>
    </row>
    <row r="95" spans="1:9" x14ac:dyDescent="0.4">
      <c r="A95" s="38">
        <v>44408</v>
      </c>
      <c r="B95" s="39">
        <v>2402</v>
      </c>
      <c r="C95" s="39">
        <v>2289</v>
      </c>
      <c r="D95" s="40">
        <v>113</v>
      </c>
      <c r="E95" s="34"/>
      <c r="F95" s="53"/>
      <c r="G95" s="42"/>
      <c r="H95" s="43"/>
      <c r="I95" s="43"/>
    </row>
    <row r="96" spans="1:9" x14ac:dyDescent="0.4">
      <c r="A96" s="38">
        <v>44409</v>
      </c>
      <c r="B96" s="39">
        <v>3082</v>
      </c>
      <c r="C96" s="39">
        <v>2971</v>
      </c>
      <c r="D96" s="40">
        <v>111</v>
      </c>
      <c r="E96" s="34"/>
      <c r="F96" s="53"/>
      <c r="G96" s="42"/>
      <c r="H96" s="43"/>
      <c r="I96" s="43"/>
    </row>
    <row r="97" spans="1:9" x14ac:dyDescent="0.4">
      <c r="A97" s="38">
        <v>44410</v>
      </c>
      <c r="B97" s="39">
        <v>2808</v>
      </c>
      <c r="C97" s="39">
        <v>2676</v>
      </c>
      <c r="D97" s="40">
        <v>132</v>
      </c>
      <c r="E97" s="34"/>
      <c r="F97" s="53"/>
      <c r="G97" s="42"/>
      <c r="H97" s="43"/>
      <c r="I97" s="43"/>
    </row>
    <row r="98" spans="1:9" x14ac:dyDescent="0.4">
      <c r="A98" s="38">
        <v>44411</v>
      </c>
      <c r="B98" s="39">
        <v>2494</v>
      </c>
      <c r="C98" s="39">
        <v>2403</v>
      </c>
      <c r="D98" s="40">
        <v>91</v>
      </c>
      <c r="E98" s="34"/>
      <c r="F98" s="53"/>
      <c r="G98" s="42"/>
      <c r="H98" s="43"/>
      <c r="I98" s="43"/>
    </row>
    <row r="99" spans="1:9" x14ac:dyDescent="0.4">
      <c r="A99" s="38">
        <v>44412</v>
      </c>
      <c r="B99" s="39">
        <v>2541</v>
      </c>
      <c r="C99" s="39">
        <v>2447</v>
      </c>
      <c r="D99" s="40">
        <v>94</v>
      </c>
      <c r="E99" s="34"/>
      <c r="F99" s="53"/>
      <c r="G99" s="42"/>
      <c r="H99" s="43"/>
      <c r="I99" s="43"/>
    </row>
    <row r="100" spans="1:9" x14ac:dyDescent="0.4">
      <c r="A100" s="38">
        <v>44413</v>
      </c>
      <c r="B100" s="39">
        <v>2555</v>
      </c>
      <c r="C100" s="39">
        <v>2468</v>
      </c>
      <c r="D100" s="40">
        <v>87</v>
      </c>
      <c r="E100" s="34"/>
      <c r="F100" s="54"/>
      <c r="G100" s="42"/>
      <c r="H100" s="43"/>
      <c r="I100" s="43"/>
    </row>
    <row r="101" spans="1:9" x14ac:dyDescent="0.4">
      <c r="A101" s="38">
        <v>44414</v>
      </c>
      <c r="B101" s="39">
        <v>2630</v>
      </c>
      <c r="C101" s="39">
        <v>2547</v>
      </c>
      <c r="D101" s="40">
        <v>83</v>
      </c>
      <c r="E101" s="34"/>
      <c r="F101" s="52" t="s">
        <v>26</v>
      </c>
      <c r="G101" s="36">
        <f t="shared" ref="G101:I101" si="11">SUM(B85:B91)</f>
        <v>22223</v>
      </c>
      <c r="H101" s="37">
        <f t="shared" si="11"/>
        <v>21568</v>
      </c>
      <c r="I101" s="37">
        <f t="shared" si="11"/>
        <v>655</v>
      </c>
    </row>
    <row r="102" spans="1:9" x14ac:dyDescent="0.4">
      <c r="A102" s="38">
        <v>44415</v>
      </c>
      <c r="B102" s="39">
        <v>2474</v>
      </c>
      <c r="C102" s="39">
        <v>2384</v>
      </c>
      <c r="D102" s="40">
        <v>90</v>
      </c>
      <c r="E102" s="34"/>
      <c r="F102" s="53"/>
      <c r="G102" s="42"/>
      <c r="H102" s="43"/>
      <c r="I102" s="43"/>
    </row>
    <row r="103" spans="1:9" x14ac:dyDescent="0.4">
      <c r="A103" s="38">
        <v>44416</v>
      </c>
      <c r="B103" s="39">
        <v>2848</v>
      </c>
      <c r="C103" s="39">
        <v>2771</v>
      </c>
      <c r="D103" s="40">
        <v>77</v>
      </c>
      <c r="E103" s="34"/>
      <c r="F103" s="53"/>
      <c r="G103" s="42"/>
      <c r="H103" s="43"/>
      <c r="I103" s="43"/>
    </row>
    <row r="104" spans="1:9" x14ac:dyDescent="0.4">
      <c r="A104" s="38">
        <v>44417</v>
      </c>
      <c r="B104" s="39">
        <v>2819</v>
      </c>
      <c r="C104" s="39">
        <v>2740</v>
      </c>
      <c r="D104" s="40">
        <v>79</v>
      </c>
      <c r="E104" s="34"/>
      <c r="F104" s="53"/>
      <c r="G104" s="42"/>
      <c r="H104" s="43"/>
      <c r="I104" s="43"/>
    </row>
    <row r="105" spans="1:9" x14ac:dyDescent="0.4">
      <c r="A105" s="38">
        <v>44418</v>
      </c>
      <c r="B105" s="39">
        <v>2710</v>
      </c>
      <c r="C105" s="39">
        <v>2630</v>
      </c>
      <c r="D105" s="40">
        <v>80</v>
      </c>
      <c r="E105" s="34"/>
      <c r="F105" s="53"/>
      <c r="G105" s="42"/>
      <c r="H105" s="43"/>
      <c r="I105" s="43"/>
    </row>
    <row r="106" spans="1:9" x14ac:dyDescent="0.4">
      <c r="A106" s="38">
        <v>44419</v>
      </c>
      <c r="B106" s="39">
        <v>3002</v>
      </c>
      <c r="C106" s="39">
        <v>2919</v>
      </c>
      <c r="D106" s="40">
        <v>83</v>
      </c>
      <c r="E106" s="34"/>
      <c r="F106" s="53"/>
      <c r="G106" s="42"/>
      <c r="H106" s="43"/>
      <c r="I106" s="43"/>
    </row>
    <row r="107" spans="1:9" x14ac:dyDescent="0.4">
      <c r="A107" s="38">
        <v>44420</v>
      </c>
      <c r="B107" s="39">
        <v>3118</v>
      </c>
      <c r="C107" s="39">
        <v>3015</v>
      </c>
      <c r="D107" s="40">
        <v>103</v>
      </c>
      <c r="E107" s="34"/>
      <c r="F107" s="54"/>
      <c r="G107" s="42"/>
      <c r="H107" s="43"/>
      <c r="I107" s="43"/>
    </row>
    <row r="108" spans="1:9" x14ac:dyDescent="0.4">
      <c r="A108" s="38">
        <v>44421</v>
      </c>
      <c r="B108" s="39">
        <v>2545</v>
      </c>
      <c r="C108" s="39">
        <v>2435</v>
      </c>
      <c r="D108" s="40">
        <v>110</v>
      </c>
      <c r="E108" s="34"/>
      <c r="F108" s="52" t="s">
        <v>27</v>
      </c>
      <c r="G108" s="36">
        <f t="shared" ref="G108:I108" si="12">SUM(B92:B98)</f>
        <v>19945</v>
      </c>
      <c r="H108" s="37">
        <f t="shared" si="12"/>
        <v>19173</v>
      </c>
      <c r="I108" s="37">
        <f t="shared" si="12"/>
        <v>772</v>
      </c>
    </row>
    <row r="109" spans="1:9" x14ac:dyDescent="0.4">
      <c r="A109" s="38">
        <v>44422</v>
      </c>
      <c r="B109" s="39">
        <v>2759</v>
      </c>
      <c r="C109" s="39">
        <v>2645</v>
      </c>
      <c r="D109" s="40">
        <v>114</v>
      </c>
      <c r="E109" s="34"/>
      <c r="F109" s="53"/>
      <c r="G109" s="42"/>
      <c r="H109" s="43"/>
      <c r="I109" s="43"/>
    </row>
    <row r="110" spans="1:9" x14ac:dyDescent="0.4">
      <c r="A110" s="38">
        <v>44423</v>
      </c>
      <c r="B110" s="39">
        <v>2598</v>
      </c>
      <c r="C110" s="39">
        <v>2521</v>
      </c>
      <c r="D110" s="40">
        <v>77</v>
      </c>
      <c r="E110" s="34"/>
      <c r="F110" s="53"/>
      <c r="G110" s="42"/>
      <c r="H110" s="43"/>
      <c r="I110" s="43"/>
    </row>
    <row r="111" spans="1:9" x14ac:dyDescent="0.4">
      <c r="A111" s="38">
        <v>44424</v>
      </c>
      <c r="B111" s="39">
        <v>2548</v>
      </c>
      <c r="C111" s="39">
        <v>2460</v>
      </c>
      <c r="D111" s="40">
        <v>88</v>
      </c>
      <c r="E111" s="34"/>
      <c r="F111" s="53"/>
      <c r="G111" s="42"/>
      <c r="H111" s="43"/>
      <c r="I111" s="43"/>
    </row>
    <row r="112" spans="1:9" x14ac:dyDescent="0.4">
      <c r="A112" s="38">
        <v>44425</v>
      </c>
      <c r="B112" s="39">
        <v>2430</v>
      </c>
      <c r="C112" s="39">
        <v>2337</v>
      </c>
      <c r="D112" s="40">
        <v>93</v>
      </c>
      <c r="E112" s="34"/>
      <c r="F112" s="53"/>
      <c r="G112" s="42"/>
      <c r="H112" s="43"/>
      <c r="I112" s="43"/>
    </row>
    <row r="113" spans="1:9" x14ac:dyDescent="0.4">
      <c r="A113" s="38">
        <v>44426</v>
      </c>
      <c r="B113" s="39">
        <v>2504</v>
      </c>
      <c r="C113" s="39">
        <v>2410</v>
      </c>
      <c r="D113" s="40">
        <v>94</v>
      </c>
      <c r="E113" s="34"/>
      <c r="F113" s="53"/>
      <c r="G113" s="42"/>
      <c r="H113" s="43"/>
      <c r="I113" s="43"/>
    </row>
    <row r="114" spans="1:9" x14ac:dyDescent="0.4">
      <c r="A114" s="38">
        <v>44427</v>
      </c>
      <c r="B114" s="39">
        <v>2832</v>
      </c>
      <c r="C114" s="39">
        <v>2728</v>
      </c>
      <c r="D114" s="40">
        <v>104</v>
      </c>
      <c r="E114" s="34"/>
      <c r="F114" s="54"/>
      <c r="G114" s="42"/>
      <c r="H114" s="43"/>
      <c r="I114" s="43"/>
    </row>
    <row r="115" spans="1:9" x14ac:dyDescent="0.4">
      <c r="A115" s="38">
        <v>44428</v>
      </c>
      <c r="B115" s="39">
        <v>3298</v>
      </c>
      <c r="C115" s="39">
        <v>3201</v>
      </c>
      <c r="D115" s="40">
        <v>97</v>
      </c>
      <c r="E115" s="34"/>
      <c r="F115" s="52" t="s">
        <v>28</v>
      </c>
      <c r="G115" s="36">
        <f t="shared" ref="G115:I115" si="13">SUM(B99:B105)</f>
        <v>18577</v>
      </c>
      <c r="H115" s="37">
        <f t="shared" si="13"/>
        <v>17987</v>
      </c>
      <c r="I115" s="37">
        <f t="shared" si="13"/>
        <v>590</v>
      </c>
    </row>
    <row r="116" spans="1:9" x14ac:dyDescent="0.4">
      <c r="A116" s="38">
        <v>44429</v>
      </c>
      <c r="B116" s="39">
        <v>3295</v>
      </c>
      <c r="C116" s="39">
        <v>3218</v>
      </c>
      <c r="D116" s="40">
        <v>77</v>
      </c>
      <c r="E116" s="34"/>
      <c r="F116" s="53"/>
      <c r="G116" s="42"/>
      <c r="H116" s="43"/>
      <c r="I116" s="43"/>
    </row>
    <row r="117" spans="1:9" x14ac:dyDescent="0.4">
      <c r="A117" s="38">
        <v>44430</v>
      </c>
      <c r="B117" s="39">
        <v>3061</v>
      </c>
      <c r="C117" s="39">
        <v>2982</v>
      </c>
      <c r="D117" s="40">
        <v>79</v>
      </c>
      <c r="E117" s="34"/>
      <c r="F117" s="53"/>
      <c r="G117" s="42"/>
      <c r="H117" s="43"/>
      <c r="I117" s="43"/>
    </row>
    <row r="118" spans="1:9" x14ac:dyDescent="0.4">
      <c r="A118" s="38">
        <v>44431</v>
      </c>
      <c r="B118" s="39">
        <v>3149</v>
      </c>
      <c r="C118" s="39">
        <v>3058</v>
      </c>
      <c r="D118" s="40">
        <v>91</v>
      </c>
      <c r="E118" s="34"/>
      <c r="F118" s="53"/>
      <c r="G118" s="42"/>
      <c r="H118" s="43"/>
      <c r="I118" s="43"/>
    </row>
    <row r="119" spans="1:9" x14ac:dyDescent="0.4">
      <c r="A119" s="38">
        <v>44432</v>
      </c>
      <c r="B119" s="39">
        <v>2703</v>
      </c>
      <c r="C119" s="39">
        <v>2622</v>
      </c>
      <c r="D119" s="40">
        <v>82</v>
      </c>
      <c r="E119" s="34"/>
      <c r="F119" s="53"/>
      <c r="G119" s="42"/>
      <c r="H119" s="43"/>
      <c r="I119" s="43"/>
    </row>
    <row r="120" spans="1:9" x14ac:dyDescent="0.4">
      <c r="A120" s="38">
        <v>44433</v>
      </c>
      <c r="B120" s="39">
        <v>3085</v>
      </c>
      <c r="C120" s="39">
        <v>3006</v>
      </c>
      <c r="D120" s="40">
        <v>79</v>
      </c>
      <c r="E120" s="34"/>
      <c r="F120" s="53"/>
      <c r="G120" s="42"/>
      <c r="H120" s="43"/>
      <c r="I120" s="43"/>
    </row>
    <row r="121" spans="1:9" x14ac:dyDescent="0.4">
      <c r="A121" s="38">
        <v>44434</v>
      </c>
      <c r="B121" s="39">
        <v>2908</v>
      </c>
      <c r="C121" s="39">
        <v>2829</v>
      </c>
      <c r="D121" s="40">
        <v>79</v>
      </c>
      <c r="E121" s="34"/>
      <c r="F121" s="54"/>
      <c r="G121" s="42"/>
      <c r="H121" s="43"/>
      <c r="I121" s="43"/>
    </row>
    <row r="122" spans="1:9" x14ac:dyDescent="0.4">
      <c r="A122" s="38">
        <v>44435</v>
      </c>
      <c r="B122" s="39">
        <v>3447</v>
      </c>
      <c r="C122" s="39">
        <v>3349</v>
      </c>
      <c r="D122" s="40">
        <v>98</v>
      </c>
      <c r="E122" s="34"/>
      <c r="F122" s="52" t="s">
        <v>29</v>
      </c>
      <c r="G122" s="36">
        <f t="shared" ref="G122:I122" si="14">SUM(B106:B112)</f>
        <v>19000</v>
      </c>
      <c r="H122" s="37">
        <f t="shared" si="14"/>
        <v>18332</v>
      </c>
      <c r="I122" s="37">
        <f t="shared" si="14"/>
        <v>668</v>
      </c>
    </row>
    <row r="123" spans="1:9" x14ac:dyDescent="0.4">
      <c r="A123" s="38">
        <v>44436</v>
      </c>
      <c r="B123" s="39">
        <v>2447</v>
      </c>
      <c r="C123" s="39">
        <v>2349</v>
      </c>
      <c r="D123" s="40">
        <v>98</v>
      </c>
      <c r="E123" s="34"/>
      <c r="F123" s="53"/>
      <c r="G123" s="42"/>
      <c r="H123" s="43"/>
      <c r="I123" s="43"/>
    </row>
    <row r="124" spans="1:9" x14ac:dyDescent="0.4">
      <c r="A124" s="38">
        <v>44437</v>
      </c>
      <c r="B124" s="39">
        <v>3269</v>
      </c>
      <c r="C124" s="39">
        <v>3179</v>
      </c>
      <c r="D124" s="40">
        <v>90</v>
      </c>
      <c r="E124" s="34"/>
      <c r="F124" s="53"/>
      <c r="G124" s="42"/>
      <c r="H124" s="43"/>
      <c r="I124" s="43"/>
    </row>
    <row r="125" spans="1:9" x14ac:dyDescent="0.4">
      <c r="A125" s="38">
        <v>44438</v>
      </c>
      <c r="B125" s="39">
        <v>3628</v>
      </c>
      <c r="C125" s="39">
        <v>3546</v>
      </c>
      <c r="D125" s="40">
        <v>82</v>
      </c>
      <c r="E125" s="34"/>
      <c r="F125" s="53"/>
      <c r="G125" s="42"/>
      <c r="H125" s="43"/>
      <c r="I125" s="43"/>
    </row>
    <row r="126" spans="1:9" x14ac:dyDescent="0.4">
      <c r="A126" s="38">
        <v>44439</v>
      </c>
      <c r="B126" s="39">
        <v>3899</v>
      </c>
      <c r="C126" s="39">
        <v>3821</v>
      </c>
      <c r="D126" s="40">
        <v>78</v>
      </c>
      <c r="E126" s="34"/>
      <c r="F126" s="53"/>
      <c r="G126" s="42"/>
      <c r="H126" s="43"/>
      <c r="I126" s="43"/>
    </row>
    <row r="127" spans="1:9" x14ac:dyDescent="0.4">
      <c r="A127" s="38">
        <v>44440</v>
      </c>
      <c r="B127" s="39">
        <v>2598</v>
      </c>
      <c r="C127" s="39">
        <v>2466</v>
      </c>
      <c r="D127" s="40">
        <v>132</v>
      </c>
      <c r="E127" s="34"/>
      <c r="F127" s="53"/>
      <c r="G127" s="42"/>
      <c r="H127" s="43"/>
      <c r="I127" s="43"/>
    </row>
    <row r="128" spans="1:9" x14ac:dyDescent="0.4">
      <c r="A128" s="38">
        <v>44441</v>
      </c>
      <c r="B128" s="39">
        <v>3202</v>
      </c>
      <c r="C128" s="39">
        <v>3117</v>
      </c>
      <c r="D128" s="40">
        <v>85</v>
      </c>
      <c r="E128" s="34"/>
      <c r="F128" s="54"/>
      <c r="G128" s="42"/>
      <c r="H128" s="43"/>
      <c r="I128" s="43"/>
    </row>
    <row r="129" spans="1:9" x14ac:dyDescent="0.4">
      <c r="A129" s="38">
        <v>44442</v>
      </c>
      <c r="B129" s="39">
        <v>3410</v>
      </c>
      <c r="C129" s="39">
        <v>3314</v>
      </c>
      <c r="D129" s="40">
        <v>96</v>
      </c>
      <c r="E129" s="34"/>
      <c r="F129" s="52" t="s">
        <v>30</v>
      </c>
      <c r="G129" s="36">
        <f t="shared" ref="G129:I129" si="15">SUM(B113:B119)</f>
        <v>20842</v>
      </c>
      <c r="H129" s="37">
        <f t="shared" si="15"/>
        <v>20219</v>
      </c>
      <c r="I129" s="37">
        <f t="shared" si="15"/>
        <v>624</v>
      </c>
    </row>
    <row r="130" spans="1:9" x14ac:dyDescent="0.4">
      <c r="A130" s="38">
        <v>44443</v>
      </c>
      <c r="B130" s="39">
        <v>3420</v>
      </c>
      <c r="C130" s="39">
        <v>3288</v>
      </c>
      <c r="D130" s="40">
        <v>132</v>
      </c>
      <c r="E130" s="34"/>
      <c r="F130" s="53"/>
      <c r="G130" s="42"/>
      <c r="H130" s="43"/>
      <c r="I130" s="43"/>
    </row>
    <row r="131" spans="1:9" x14ac:dyDescent="0.4">
      <c r="A131" s="38">
        <v>44444</v>
      </c>
      <c r="B131" s="39">
        <v>2772</v>
      </c>
      <c r="C131" s="39">
        <v>2693</v>
      </c>
      <c r="D131" s="40">
        <v>79</v>
      </c>
      <c r="E131" s="34"/>
      <c r="F131" s="53"/>
      <c r="G131" s="42"/>
      <c r="H131" s="43"/>
      <c r="I131" s="43"/>
    </row>
    <row r="132" spans="1:9" x14ac:dyDescent="0.4">
      <c r="A132" s="38">
        <v>44445</v>
      </c>
      <c r="B132" s="39">
        <v>2825</v>
      </c>
      <c r="C132" s="39">
        <v>2721</v>
      </c>
      <c r="D132" s="40">
        <v>104</v>
      </c>
      <c r="E132" s="34"/>
      <c r="F132" s="53"/>
      <c r="G132" s="42"/>
      <c r="H132" s="43"/>
      <c r="I132" s="43"/>
    </row>
    <row r="133" spans="1:9" x14ac:dyDescent="0.4">
      <c r="A133" s="38">
        <v>44446</v>
      </c>
      <c r="B133" s="39">
        <v>2153</v>
      </c>
      <c r="C133" s="39">
        <v>2054</v>
      </c>
      <c r="D133" s="40">
        <v>99</v>
      </c>
      <c r="E133" s="34"/>
      <c r="F133" s="53"/>
      <c r="G133" s="42"/>
      <c r="H133" s="43"/>
      <c r="I133" s="43"/>
    </row>
    <row r="134" spans="1:9" x14ac:dyDescent="0.4">
      <c r="A134" s="38">
        <v>44447</v>
      </c>
      <c r="B134" s="39">
        <v>1973</v>
      </c>
      <c r="C134" s="39">
        <v>1892</v>
      </c>
      <c r="D134" s="40">
        <v>81</v>
      </c>
      <c r="E134" s="34"/>
      <c r="F134" s="53"/>
      <c r="G134" s="42"/>
      <c r="H134" s="43"/>
      <c r="I134" s="43"/>
    </row>
    <row r="135" spans="1:9" x14ac:dyDescent="0.4">
      <c r="A135" s="38">
        <v>44448</v>
      </c>
      <c r="B135" s="39">
        <v>2897</v>
      </c>
      <c r="C135" s="39">
        <v>2807</v>
      </c>
      <c r="D135" s="40">
        <v>90</v>
      </c>
      <c r="E135" s="34"/>
      <c r="F135" s="54"/>
      <c r="G135" s="42"/>
      <c r="H135" s="43"/>
      <c r="I135" s="43"/>
    </row>
    <row r="136" spans="1:9" x14ac:dyDescent="0.4">
      <c r="A136" s="38">
        <v>44449</v>
      </c>
      <c r="B136" s="39">
        <v>3062</v>
      </c>
      <c r="C136" s="39">
        <v>2968</v>
      </c>
      <c r="D136" s="40">
        <v>94</v>
      </c>
      <c r="E136" s="34"/>
      <c r="F136" s="52" t="s">
        <v>31</v>
      </c>
      <c r="G136" s="36">
        <f t="shared" ref="G136:I136" si="16">SUM(B120:B126)</f>
        <v>22683</v>
      </c>
      <c r="H136" s="37">
        <f t="shared" si="16"/>
        <v>22079</v>
      </c>
      <c r="I136" s="37">
        <f t="shared" si="16"/>
        <v>604</v>
      </c>
    </row>
    <row r="137" spans="1:9" x14ac:dyDescent="0.4">
      <c r="A137" s="38">
        <v>44450</v>
      </c>
      <c r="B137" s="39">
        <v>3319</v>
      </c>
      <c r="C137" s="39">
        <v>3221</v>
      </c>
      <c r="D137" s="40">
        <v>98</v>
      </c>
      <c r="E137" s="34"/>
      <c r="F137" s="53"/>
      <c r="G137" s="42"/>
      <c r="H137" s="43"/>
      <c r="I137" s="43"/>
    </row>
    <row r="138" spans="1:9" x14ac:dyDescent="0.4">
      <c r="A138" s="38">
        <v>44451</v>
      </c>
      <c r="B138" s="39">
        <v>3347</v>
      </c>
      <c r="C138" s="39">
        <v>3247</v>
      </c>
      <c r="D138" s="40">
        <v>100</v>
      </c>
      <c r="E138" s="34"/>
      <c r="F138" s="53"/>
      <c r="G138" s="42"/>
      <c r="H138" s="43"/>
      <c r="I138" s="43"/>
    </row>
    <row r="139" spans="1:9" x14ac:dyDescent="0.4">
      <c r="A139" s="38">
        <v>44452</v>
      </c>
      <c r="B139" s="39">
        <v>3360</v>
      </c>
      <c r="C139" s="39">
        <v>3258</v>
      </c>
      <c r="D139" s="40">
        <v>102</v>
      </c>
      <c r="E139" s="34"/>
      <c r="F139" s="53"/>
      <c r="G139" s="42"/>
      <c r="H139" s="43"/>
      <c r="I139" s="43"/>
    </row>
    <row r="140" spans="1:9" x14ac:dyDescent="0.4">
      <c r="A140" s="38">
        <v>44453</v>
      </c>
      <c r="B140" s="39">
        <v>3363</v>
      </c>
      <c r="C140" s="39">
        <v>3268</v>
      </c>
      <c r="D140" s="40">
        <v>95</v>
      </c>
      <c r="E140" s="34"/>
      <c r="F140" s="53"/>
      <c r="G140" s="42"/>
      <c r="H140" s="43"/>
      <c r="I140" s="43"/>
    </row>
    <row r="141" spans="1:9" x14ac:dyDescent="0.4">
      <c r="A141" s="38">
        <v>44454</v>
      </c>
      <c r="B141" s="39">
        <v>3547</v>
      </c>
      <c r="C141" s="39">
        <v>3453</v>
      </c>
      <c r="D141" s="40">
        <v>94</v>
      </c>
      <c r="E141" s="34"/>
      <c r="F141" s="53"/>
      <c r="G141" s="42"/>
      <c r="H141" s="43"/>
      <c r="I141" s="43"/>
    </row>
    <row r="142" spans="1:9" x14ac:dyDescent="0.4">
      <c r="A142" s="38">
        <v>44455</v>
      </c>
      <c r="B142" s="39">
        <v>3257</v>
      </c>
      <c r="C142" s="39">
        <v>3165</v>
      </c>
      <c r="D142" s="40">
        <v>92</v>
      </c>
      <c r="E142" s="34"/>
      <c r="F142" s="54"/>
      <c r="G142" s="42"/>
      <c r="H142" s="43"/>
      <c r="I142" s="43"/>
    </row>
    <row r="143" spans="1:9" x14ac:dyDescent="0.4">
      <c r="A143" s="38">
        <v>44456</v>
      </c>
      <c r="B143" s="39">
        <v>3280</v>
      </c>
      <c r="C143" s="39">
        <v>3197</v>
      </c>
      <c r="D143" s="40">
        <v>83</v>
      </c>
      <c r="E143" s="34"/>
      <c r="F143" s="52" t="s">
        <v>32</v>
      </c>
      <c r="G143" s="36">
        <f t="shared" ref="G143:I143" si="17">SUM(B127:B133)</f>
        <v>20380</v>
      </c>
      <c r="H143" s="37">
        <f t="shared" si="17"/>
        <v>19653</v>
      </c>
      <c r="I143" s="37">
        <f t="shared" si="17"/>
        <v>727</v>
      </c>
    </row>
    <row r="144" spans="1:9" x14ac:dyDescent="0.4">
      <c r="A144" s="38">
        <v>44457</v>
      </c>
      <c r="B144" s="39">
        <v>3518</v>
      </c>
      <c r="C144" s="39">
        <v>3422</v>
      </c>
      <c r="D144" s="40">
        <v>96</v>
      </c>
      <c r="E144" s="34"/>
      <c r="F144" s="53"/>
      <c r="G144" s="42"/>
      <c r="H144" s="43"/>
      <c r="I144" s="43"/>
    </row>
    <row r="145" spans="1:9" x14ac:dyDescent="0.4">
      <c r="A145" s="38">
        <v>44458</v>
      </c>
      <c r="B145" s="39">
        <v>3574</v>
      </c>
      <c r="C145" s="39">
        <v>3471</v>
      </c>
      <c r="D145" s="40">
        <v>103</v>
      </c>
      <c r="E145" s="34"/>
      <c r="F145" s="53"/>
      <c r="G145" s="42"/>
      <c r="H145" s="43"/>
      <c r="I145" s="43"/>
    </row>
    <row r="146" spans="1:9" x14ac:dyDescent="0.4">
      <c r="A146" s="38">
        <v>44459</v>
      </c>
      <c r="B146" s="39">
        <v>4063</v>
      </c>
      <c r="C146" s="39">
        <v>3974</v>
      </c>
      <c r="D146" s="40">
        <v>89</v>
      </c>
      <c r="E146" s="34"/>
      <c r="F146" s="53"/>
      <c r="G146" s="42"/>
      <c r="H146" s="43"/>
      <c r="I146" s="43"/>
    </row>
    <row r="147" spans="1:9" x14ac:dyDescent="0.4">
      <c r="A147" s="38">
        <v>44460</v>
      </c>
      <c r="B147" s="39">
        <v>3350</v>
      </c>
      <c r="C147" s="39">
        <v>3267</v>
      </c>
      <c r="D147" s="40">
        <v>83</v>
      </c>
      <c r="E147" s="34"/>
      <c r="F147" s="53"/>
      <c r="G147" s="42"/>
      <c r="H147" s="43"/>
      <c r="I147" s="43"/>
    </row>
    <row r="148" spans="1:9" x14ac:dyDescent="0.4">
      <c r="A148" s="38">
        <v>44461</v>
      </c>
      <c r="B148" s="39">
        <v>2859</v>
      </c>
      <c r="C148" s="39">
        <v>2765</v>
      </c>
      <c r="D148" s="40">
        <v>94</v>
      </c>
      <c r="E148" s="34"/>
      <c r="F148" s="53"/>
      <c r="G148" s="42"/>
      <c r="H148" s="43"/>
      <c r="I148" s="43"/>
    </row>
    <row r="149" spans="1:9" x14ac:dyDescent="0.4">
      <c r="A149" s="38">
        <v>44462</v>
      </c>
      <c r="B149" s="39">
        <v>3245</v>
      </c>
      <c r="C149" s="39">
        <v>3152</v>
      </c>
      <c r="D149" s="40">
        <v>93</v>
      </c>
      <c r="E149" s="34"/>
      <c r="F149" s="54"/>
      <c r="G149" s="42"/>
      <c r="H149" s="43"/>
      <c r="I149" s="43"/>
    </row>
    <row r="150" spans="1:9" x14ac:dyDescent="0.4">
      <c r="A150" s="38">
        <v>44463</v>
      </c>
      <c r="B150" s="39">
        <v>3414</v>
      </c>
      <c r="C150" s="39">
        <v>3309</v>
      </c>
      <c r="D150" s="40">
        <v>105</v>
      </c>
      <c r="E150" s="34"/>
      <c r="F150" s="52" t="s">
        <v>33</v>
      </c>
      <c r="G150" s="36">
        <f t="shared" ref="G150:I150" si="18">SUM(B134:B140)</f>
        <v>21321</v>
      </c>
      <c r="H150" s="37">
        <f t="shared" si="18"/>
        <v>20661</v>
      </c>
      <c r="I150" s="37">
        <f t="shared" si="18"/>
        <v>660</v>
      </c>
    </row>
    <row r="151" spans="1:9" x14ac:dyDescent="0.4">
      <c r="A151" s="38">
        <v>44464</v>
      </c>
      <c r="B151" s="39">
        <v>3373</v>
      </c>
      <c r="C151" s="39">
        <v>3292</v>
      </c>
      <c r="D151" s="40">
        <v>81</v>
      </c>
      <c r="E151" s="34"/>
      <c r="F151" s="53"/>
      <c r="G151" s="42"/>
      <c r="H151" s="43"/>
      <c r="I151" s="43"/>
    </row>
    <row r="152" spans="1:9" x14ac:dyDescent="0.4">
      <c r="A152" s="38">
        <v>44465</v>
      </c>
      <c r="B152" s="39">
        <v>3263</v>
      </c>
      <c r="C152" s="39">
        <v>3168</v>
      </c>
      <c r="D152" s="40">
        <v>95</v>
      </c>
      <c r="E152" s="34"/>
      <c r="F152" s="53"/>
      <c r="G152" s="42"/>
      <c r="H152" s="43"/>
      <c r="I152" s="43"/>
    </row>
    <row r="153" spans="1:9" x14ac:dyDescent="0.4">
      <c r="A153" s="38">
        <v>44466</v>
      </c>
      <c r="B153" s="39">
        <v>3502</v>
      </c>
      <c r="C153" s="39">
        <v>3397</v>
      </c>
      <c r="D153" s="40">
        <v>105</v>
      </c>
      <c r="E153" s="34"/>
      <c r="F153" s="53"/>
      <c r="G153" s="42"/>
      <c r="H153" s="43"/>
      <c r="I153" s="43"/>
    </row>
    <row r="154" spans="1:9" x14ac:dyDescent="0.4">
      <c r="A154" s="38">
        <v>44467</v>
      </c>
      <c r="B154" s="39">
        <v>2878</v>
      </c>
      <c r="C154" s="39">
        <v>2780</v>
      </c>
      <c r="D154" s="40">
        <v>98</v>
      </c>
      <c r="E154" s="34"/>
      <c r="F154" s="53"/>
      <c r="G154" s="42"/>
      <c r="H154" s="43"/>
      <c r="I154" s="43"/>
    </row>
    <row r="155" spans="1:9" x14ac:dyDescent="0.4">
      <c r="A155" s="38">
        <v>44468</v>
      </c>
      <c r="B155" s="39">
        <v>2768</v>
      </c>
      <c r="C155" s="39">
        <v>2681</v>
      </c>
      <c r="D155" s="40">
        <v>87</v>
      </c>
      <c r="E155" s="34"/>
      <c r="F155" s="53"/>
      <c r="G155" s="42"/>
      <c r="H155" s="43"/>
      <c r="I155" s="43"/>
    </row>
    <row r="156" spans="1:9" x14ac:dyDescent="0.4">
      <c r="A156" s="38">
        <v>44469</v>
      </c>
      <c r="B156" s="39">
        <v>1830</v>
      </c>
      <c r="C156" s="39">
        <v>1735</v>
      </c>
      <c r="D156" s="40">
        <v>95</v>
      </c>
      <c r="E156" s="34"/>
      <c r="F156" s="54"/>
      <c r="G156" s="42"/>
      <c r="H156" s="43"/>
      <c r="I156" s="43"/>
    </row>
    <row r="157" spans="1:9" x14ac:dyDescent="0.4">
      <c r="A157" s="38">
        <v>44470</v>
      </c>
      <c r="B157" s="39">
        <v>2500</v>
      </c>
      <c r="C157" s="39">
        <v>2406</v>
      </c>
      <c r="D157" s="40">
        <v>94</v>
      </c>
      <c r="E157" s="34"/>
      <c r="F157" s="52" t="s">
        <v>34</v>
      </c>
      <c r="G157" s="36">
        <f t="shared" ref="G157:I157" si="19">SUM(B141:B147)</f>
        <v>24589</v>
      </c>
      <c r="H157" s="37">
        <f t="shared" si="19"/>
        <v>23949</v>
      </c>
      <c r="I157" s="37">
        <f t="shared" si="19"/>
        <v>640</v>
      </c>
    </row>
    <row r="158" spans="1:9" x14ac:dyDescent="0.4">
      <c r="A158" s="38">
        <v>44471</v>
      </c>
      <c r="B158" s="39">
        <v>2589</v>
      </c>
      <c r="C158" s="39">
        <v>2483</v>
      </c>
      <c r="D158" s="40">
        <v>106</v>
      </c>
      <c r="E158" s="34"/>
      <c r="F158" s="53"/>
      <c r="G158" s="42"/>
      <c r="H158" s="43"/>
      <c r="I158" s="43"/>
    </row>
    <row r="159" spans="1:9" x14ac:dyDescent="0.4">
      <c r="A159" s="38">
        <v>44472</v>
      </c>
      <c r="B159" s="39">
        <v>2653</v>
      </c>
      <c r="C159" s="39">
        <v>2552</v>
      </c>
      <c r="D159" s="40">
        <v>101</v>
      </c>
      <c r="E159" s="34"/>
      <c r="F159" s="53"/>
      <c r="G159" s="42"/>
      <c r="H159" s="43"/>
      <c r="I159" s="43"/>
    </row>
    <row r="160" spans="1:9" x14ac:dyDescent="0.4">
      <c r="A160" s="38">
        <v>44473</v>
      </c>
      <c r="B160" s="39">
        <v>3152</v>
      </c>
      <c r="C160" s="39">
        <v>3055</v>
      </c>
      <c r="D160" s="40">
        <v>97</v>
      </c>
      <c r="E160" s="34"/>
      <c r="F160" s="53"/>
      <c r="G160" s="42"/>
      <c r="H160" s="43"/>
      <c r="I160" s="43"/>
    </row>
    <row r="161" spans="1:9" x14ac:dyDescent="0.4">
      <c r="A161" s="38">
        <v>44474</v>
      </c>
      <c r="B161" s="39">
        <v>2587</v>
      </c>
      <c r="C161" s="39">
        <v>2476</v>
      </c>
      <c r="D161" s="40">
        <v>111</v>
      </c>
      <c r="E161" s="34"/>
      <c r="F161" s="53"/>
      <c r="G161" s="42"/>
      <c r="H161" s="43"/>
      <c r="I161" s="43"/>
    </row>
    <row r="162" spans="1:9" x14ac:dyDescent="0.4">
      <c r="A162" s="38">
        <v>44475</v>
      </c>
      <c r="B162" s="39">
        <v>2782</v>
      </c>
      <c r="C162" s="39">
        <v>2673</v>
      </c>
      <c r="D162" s="40">
        <v>109</v>
      </c>
      <c r="E162" s="34"/>
      <c r="F162" s="53"/>
      <c r="G162" s="42"/>
      <c r="H162" s="43"/>
      <c r="I162" s="43"/>
    </row>
    <row r="163" spans="1:9" x14ac:dyDescent="0.4">
      <c r="A163" s="38">
        <v>44476</v>
      </c>
      <c r="B163" s="39">
        <v>2803</v>
      </c>
      <c r="C163" s="39">
        <v>2698</v>
      </c>
      <c r="D163" s="40">
        <v>105</v>
      </c>
      <c r="E163" s="34"/>
      <c r="F163" s="54"/>
      <c r="G163" s="42"/>
      <c r="H163" s="43"/>
      <c r="I163" s="43"/>
    </row>
    <row r="164" spans="1:9" x14ac:dyDescent="0.4">
      <c r="A164" s="38">
        <v>44477</v>
      </c>
      <c r="B164" s="39">
        <v>3016</v>
      </c>
      <c r="C164" s="39">
        <v>2906</v>
      </c>
      <c r="D164" s="40">
        <v>110</v>
      </c>
      <c r="E164" s="34"/>
      <c r="F164" s="52" t="s">
        <v>35</v>
      </c>
      <c r="G164" s="36">
        <f t="shared" ref="G164:I164" si="20">SUM(B148:B154)</f>
        <v>22534</v>
      </c>
      <c r="H164" s="37">
        <f t="shared" si="20"/>
        <v>21863</v>
      </c>
      <c r="I164" s="37">
        <f t="shared" si="20"/>
        <v>671</v>
      </c>
    </row>
    <row r="165" spans="1:9" x14ac:dyDescent="0.4">
      <c r="A165" s="38">
        <v>44478</v>
      </c>
      <c r="B165" s="39">
        <v>2408</v>
      </c>
      <c r="C165" s="39">
        <v>2317</v>
      </c>
      <c r="D165" s="40">
        <v>91</v>
      </c>
      <c r="E165" s="34"/>
      <c r="F165" s="53"/>
      <c r="G165" s="42"/>
      <c r="H165" s="43"/>
      <c r="I165" s="43"/>
    </row>
    <row r="166" spans="1:9" x14ac:dyDescent="0.4">
      <c r="A166" s="38">
        <v>44479</v>
      </c>
      <c r="B166" s="39">
        <v>2669</v>
      </c>
      <c r="C166" s="39">
        <v>2580</v>
      </c>
      <c r="D166" s="40">
        <v>89</v>
      </c>
      <c r="E166" s="34"/>
      <c r="F166" s="53"/>
      <c r="G166" s="42"/>
      <c r="H166" s="43"/>
      <c r="I166" s="43"/>
    </row>
    <row r="167" spans="1:9" x14ac:dyDescent="0.4">
      <c r="A167" s="38">
        <v>44480</v>
      </c>
      <c r="B167" s="39">
        <v>2464</v>
      </c>
      <c r="C167" s="39">
        <v>2368</v>
      </c>
      <c r="D167" s="40">
        <v>96</v>
      </c>
      <c r="E167" s="34"/>
      <c r="F167" s="53"/>
      <c r="G167" s="42"/>
      <c r="H167" s="43"/>
      <c r="I167" s="43"/>
    </row>
    <row r="168" spans="1:9" x14ac:dyDescent="0.4">
      <c r="A168" s="38">
        <v>44481</v>
      </c>
      <c r="B168" s="39">
        <v>2440</v>
      </c>
      <c r="C168" s="39">
        <v>2341</v>
      </c>
      <c r="D168" s="40">
        <v>99</v>
      </c>
      <c r="E168" s="34"/>
      <c r="F168" s="53"/>
      <c r="G168" s="42"/>
      <c r="H168" s="43"/>
      <c r="I168" s="43"/>
    </row>
    <row r="169" spans="1:9" x14ac:dyDescent="0.4">
      <c r="A169" s="38">
        <v>44482</v>
      </c>
      <c r="B169" s="39">
        <v>2421</v>
      </c>
      <c r="C169" s="39">
        <v>2322</v>
      </c>
      <c r="D169" s="40">
        <v>99</v>
      </c>
      <c r="E169" s="34"/>
      <c r="F169" s="53"/>
      <c r="G169" s="42"/>
      <c r="H169" s="43"/>
      <c r="I169" s="43"/>
    </row>
    <row r="170" spans="1:9" x14ac:dyDescent="0.4">
      <c r="A170" s="38">
        <v>44483</v>
      </c>
      <c r="B170" s="39">
        <v>2399</v>
      </c>
      <c r="C170" s="39">
        <v>2309</v>
      </c>
      <c r="D170" s="40">
        <v>90</v>
      </c>
      <c r="E170" s="34"/>
      <c r="F170" s="54"/>
      <c r="G170" s="42"/>
      <c r="H170" s="43"/>
      <c r="I170" s="43"/>
    </row>
    <row r="171" spans="1:9" ht="14.25" customHeight="1" x14ac:dyDescent="0.4">
      <c r="A171" s="38">
        <v>44484</v>
      </c>
      <c r="B171" s="39">
        <v>2400</v>
      </c>
      <c r="C171" s="39">
        <v>2308</v>
      </c>
      <c r="D171" s="40">
        <v>92</v>
      </c>
      <c r="E171" s="34"/>
      <c r="F171" s="52" t="s">
        <v>36</v>
      </c>
      <c r="G171" s="36">
        <f t="shared" ref="G171:I171" si="21">SUM(B155:B161)</f>
        <v>18079</v>
      </c>
      <c r="H171" s="37">
        <f t="shared" si="21"/>
        <v>17388</v>
      </c>
      <c r="I171" s="37">
        <f t="shared" si="21"/>
        <v>691</v>
      </c>
    </row>
    <row r="172" spans="1:9" x14ac:dyDescent="0.4">
      <c r="A172" s="38">
        <v>44485</v>
      </c>
      <c r="B172" s="39">
        <v>2181</v>
      </c>
      <c r="C172" s="39">
        <v>2088</v>
      </c>
      <c r="D172" s="40">
        <v>93</v>
      </c>
      <c r="E172" s="34"/>
      <c r="F172" s="53"/>
      <c r="G172" s="42"/>
      <c r="H172" s="43"/>
      <c r="I172" s="43"/>
    </row>
    <row r="173" spans="1:9" x14ac:dyDescent="0.4">
      <c r="A173" s="38">
        <v>44486</v>
      </c>
      <c r="B173" s="39">
        <v>1306</v>
      </c>
      <c r="C173" s="39">
        <v>1210</v>
      </c>
      <c r="D173" s="40">
        <v>96</v>
      </c>
      <c r="E173" s="34"/>
      <c r="F173" s="53"/>
      <c r="G173" s="42"/>
      <c r="H173" s="43"/>
      <c r="I173" s="43"/>
    </row>
    <row r="174" spans="1:9" x14ac:dyDescent="0.4">
      <c r="A174" s="38">
        <v>44487</v>
      </c>
      <c r="B174" s="39">
        <v>1016</v>
      </c>
      <c r="C174" s="39">
        <v>920</v>
      </c>
      <c r="D174" s="40">
        <v>96</v>
      </c>
      <c r="E174" s="34"/>
      <c r="F174" s="53"/>
      <c r="G174" s="42"/>
      <c r="H174" s="43"/>
      <c r="I174" s="43"/>
    </row>
    <row r="175" spans="1:9" x14ac:dyDescent="0.4">
      <c r="A175" s="38">
        <v>44488</v>
      </c>
      <c r="B175" s="39">
        <v>437</v>
      </c>
      <c r="C175" s="39">
        <v>351</v>
      </c>
      <c r="D175" s="40">
        <v>86</v>
      </c>
      <c r="E175" s="34"/>
      <c r="F175" s="53"/>
      <c r="G175" s="42"/>
      <c r="H175" s="43"/>
      <c r="I175" s="43"/>
    </row>
    <row r="176" spans="1:9" x14ac:dyDescent="0.4">
      <c r="A176" s="38">
        <v>44489</v>
      </c>
      <c r="B176" s="39">
        <v>408</v>
      </c>
      <c r="C176" s="39">
        <v>315</v>
      </c>
      <c r="D176" s="40">
        <v>93</v>
      </c>
      <c r="E176" s="34"/>
      <c r="F176" s="53"/>
      <c r="G176" s="42"/>
      <c r="H176" s="43"/>
      <c r="I176" s="43"/>
    </row>
    <row r="177" spans="1:9" x14ac:dyDescent="0.4">
      <c r="A177" s="38">
        <v>44490</v>
      </c>
      <c r="B177" s="39">
        <v>441</v>
      </c>
      <c r="C177" s="39">
        <v>341</v>
      </c>
      <c r="D177" s="40">
        <v>100</v>
      </c>
      <c r="E177" s="34"/>
      <c r="F177" s="54"/>
      <c r="G177" s="42"/>
      <c r="H177" s="43"/>
      <c r="I177" s="43"/>
    </row>
    <row r="178" spans="1:9" x14ac:dyDescent="0.4">
      <c r="A178" s="38">
        <v>44491</v>
      </c>
      <c r="B178" s="39">
        <v>435</v>
      </c>
      <c r="C178" s="39">
        <v>342</v>
      </c>
      <c r="D178" s="40">
        <v>93</v>
      </c>
      <c r="E178" s="34"/>
      <c r="F178" s="52" t="s">
        <v>37</v>
      </c>
      <c r="G178" s="36">
        <f t="shared" ref="G178:I178" si="22">SUM(B162:B168)</f>
        <v>18582</v>
      </c>
      <c r="H178" s="37">
        <f t="shared" si="22"/>
        <v>17883</v>
      </c>
      <c r="I178" s="37">
        <f t="shared" si="22"/>
        <v>699</v>
      </c>
    </row>
    <row r="179" spans="1:9" x14ac:dyDescent="0.4">
      <c r="A179" s="38">
        <v>44492</v>
      </c>
      <c r="B179" s="39">
        <v>521</v>
      </c>
      <c r="C179" s="39">
        <v>437</v>
      </c>
      <c r="D179" s="40">
        <v>84</v>
      </c>
      <c r="E179" s="34"/>
      <c r="F179" s="53"/>
      <c r="G179" s="42"/>
      <c r="H179" s="43"/>
      <c r="I179" s="43"/>
    </row>
    <row r="180" spans="1:9" x14ac:dyDescent="0.4">
      <c r="A180" s="38">
        <v>44493</v>
      </c>
      <c r="B180" s="39">
        <v>504</v>
      </c>
      <c r="C180" s="39">
        <v>419</v>
      </c>
      <c r="D180" s="40">
        <v>85</v>
      </c>
      <c r="E180" s="34"/>
      <c r="F180" s="53"/>
      <c r="G180" s="42"/>
      <c r="H180" s="43"/>
      <c r="I180" s="43"/>
    </row>
    <row r="181" spans="1:9" x14ac:dyDescent="0.4">
      <c r="A181" s="38">
        <v>44494</v>
      </c>
      <c r="B181" s="39">
        <v>531</v>
      </c>
      <c r="C181" s="39">
        <v>444</v>
      </c>
      <c r="D181" s="40">
        <v>87</v>
      </c>
      <c r="E181" s="34"/>
      <c r="F181" s="53"/>
      <c r="G181" s="42"/>
      <c r="H181" s="43"/>
      <c r="I181" s="43"/>
    </row>
    <row r="182" spans="1:9" x14ac:dyDescent="0.4">
      <c r="A182" s="38">
        <v>44495</v>
      </c>
      <c r="B182" s="39">
        <v>483</v>
      </c>
      <c r="C182" s="39">
        <v>400</v>
      </c>
      <c r="D182" s="40">
        <v>83</v>
      </c>
      <c r="E182" s="34"/>
      <c r="F182" s="53"/>
      <c r="G182" s="42"/>
      <c r="H182" s="43"/>
      <c r="I182" s="43"/>
    </row>
    <row r="183" spans="1:9" x14ac:dyDescent="0.4">
      <c r="A183" s="38">
        <v>44496</v>
      </c>
      <c r="B183" s="39">
        <v>752</v>
      </c>
      <c r="C183" s="39">
        <v>669</v>
      </c>
      <c r="D183" s="40">
        <v>83</v>
      </c>
      <c r="E183" s="34"/>
      <c r="F183" s="53"/>
      <c r="G183" s="42"/>
      <c r="H183" s="43"/>
      <c r="I183" s="43"/>
    </row>
    <row r="184" spans="1:9" x14ac:dyDescent="0.4">
      <c r="A184" s="38">
        <v>44497</v>
      </c>
      <c r="B184" s="39">
        <v>762</v>
      </c>
      <c r="C184" s="39">
        <v>691</v>
      </c>
      <c r="D184" s="40">
        <v>71</v>
      </c>
      <c r="E184" s="34"/>
      <c r="F184" s="54"/>
      <c r="G184" s="42"/>
      <c r="H184" s="43"/>
      <c r="I184" s="43"/>
    </row>
    <row r="185" spans="1:9" x14ac:dyDescent="0.4">
      <c r="A185" s="38">
        <v>44498</v>
      </c>
      <c r="B185" s="39">
        <v>846</v>
      </c>
      <c r="C185" s="39">
        <v>765</v>
      </c>
      <c r="D185" s="40">
        <v>81</v>
      </c>
      <c r="E185" s="34"/>
      <c r="F185" s="52" t="s">
        <v>38</v>
      </c>
      <c r="G185" s="36">
        <f t="shared" ref="G185:I185" si="23">SUM(B169:B175)</f>
        <v>12160</v>
      </c>
      <c r="H185" s="37">
        <f t="shared" si="23"/>
        <v>11508</v>
      </c>
      <c r="I185" s="37">
        <f t="shared" si="23"/>
        <v>652</v>
      </c>
    </row>
    <row r="186" spans="1:9" x14ac:dyDescent="0.4">
      <c r="A186" s="38">
        <v>44499</v>
      </c>
      <c r="B186" s="39">
        <v>902</v>
      </c>
      <c r="C186" s="39">
        <v>829</v>
      </c>
      <c r="D186" s="40">
        <v>73</v>
      </c>
      <c r="E186" s="34"/>
      <c r="F186" s="53"/>
      <c r="G186" s="42"/>
      <c r="H186" s="43"/>
      <c r="I186" s="43"/>
    </row>
    <row r="187" spans="1:9" x14ac:dyDescent="0.4">
      <c r="A187" s="55">
        <v>44500</v>
      </c>
      <c r="B187" s="56">
        <v>820</v>
      </c>
      <c r="C187" s="56">
        <v>745</v>
      </c>
      <c r="D187" s="57">
        <v>75</v>
      </c>
      <c r="E187" s="34"/>
      <c r="F187" s="53"/>
      <c r="G187" s="42"/>
      <c r="H187" s="43"/>
      <c r="I187" s="43"/>
    </row>
    <row r="188" spans="1:9" x14ac:dyDescent="0.4">
      <c r="E188" s="34"/>
      <c r="F188" s="53"/>
      <c r="G188" s="42"/>
      <c r="H188" s="43"/>
      <c r="I188" s="43"/>
    </row>
    <row r="189" spans="1:9" x14ac:dyDescent="0.4">
      <c r="E189" s="34"/>
      <c r="F189" s="53"/>
      <c r="G189" s="42"/>
      <c r="H189" s="43"/>
      <c r="I189" s="43"/>
    </row>
    <row r="190" spans="1:9" x14ac:dyDescent="0.4">
      <c r="E190" s="34"/>
      <c r="F190" s="53"/>
      <c r="G190" s="42"/>
      <c r="H190" s="43"/>
      <c r="I190" s="43"/>
    </row>
    <row r="191" spans="1:9" x14ac:dyDescent="0.4">
      <c r="E191" s="34"/>
      <c r="F191" s="54"/>
      <c r="G191" s="42"/>
      <c r="H191" s="43"/>
      <c r="I191" s="43"/>
    </row>
    <row r="192" spans="1:9" x14ac:dyDescent="0.4">
      <c r="E192" s="34"/>
      <c r="F192" s="52" t="s">
        <v>39</v>
      </c>
      <c r="G192" s="36">
        <f t="shared" ref="G192:I192" si="24">SUM(B176:B182)</f>
        <v>3323</v>
      </c>
      <c r="H192" s="37">
        <f t="shared" si="24"/>
        <v>2698</v>
      </c>
      <c r="I192" s="37">
        <f t="shared" si="24"/>
        <v>625</v>
      </c>
    </row>
    <row r="193" spans="5:9" x14ac:dyDescent="0.4">
      <c r="E193" s="34"/>
      <c r="F193" s="53"/>
      <c r="G193" s="42"/>
      <c r="H193" s="43"/>
      <c r="I193" s="43"/>
    </row>
    <row r="194" spans="5:9" x14ac:dyDescent="0.4">
      <c r="E194" s="34"/>
      <c r="F194" s="53"/>
      <c r="G194" s="42"/>
      <c r="H194" s="43"/>
      <c r="I194" s="43"/>
    </row>
    <row r="195" spans="5:9" x14ac:dyDescent="0.4">
      <c r="E195" s="34"/>
      <c r="F195" s="53"/>
      <c r="G195" s="42"/>
      <c r="H195" s="43"/>
      <c r="I195" s="43"/>
    </row>
    <row r="196" spans="5:9" x14ac:dyDescent="0.4">
      <c r="E196" s="34"/>
      <c r="F196" s="53"/>
      <c r="G196" s="42"/>
      <c r="H196" s="43"/>
      <c r="I196" s="43"/>
    </row>
    <row r="197" spans="5:9" x14ac:dyDescent="0.4">
      <c r="E197" s="34"/>
      <c r="F197" s="53"/>
      <c r="G197" s="42"/>
      <c r="H197" s="43"/>
      <c r="I197" s="43"/>
    </row>
    <row r="198" spans="5:9" x14ac:dyDescent="0.4">
      <c r="E198" s="34"/>
      <c r="F198" s="54"/>
      <c r="G198" s="42"/>
      <c r="H198" s="43"/>
      <c r="I198" s="43"/>
    </row>
    <row r="199" spans="5:9" x14ac:dyDescent="0.4">
      <c r="E199" s="34"/>
      <c r="F199" s="52" t="s">
        <v>40</v>
      </c>
      <c r="G199" s="36">
        <f>SUM(B183:B187)</f>
        <v>4082</v>
      </c>
      <c r="H199" s="37">
        <f t="shared" ref="H199:I199" si="25">SUM(C183:C187)</f>
        <v>3699</v>
      </c>
      <c r="I199" s="37">
        <f t="shared" si="25"/>
        <v>383</v>
      </c>
    </row>
    <row r="200" spans="5:9" x14ac:dyDescent="0.4">
      <c r="E200" s="34"/>
      <c r="F200" s="53"/>
      <c r="G200" s="42"/>
      <c r="H200" s="43"/>
      <c r="I200" s="43"/>
    </row>
    <row r="201" spans="5:9" x14ac:dyDescent="0.4">
      <c r="E201" s="34"/>
      <c r="F201" s="53"/>
      <c r="G201" s="42"/>
      <c r="H201" s="43"/>
      <c r="I201" s="43"/>
    </row>
    <row r="202" spans="5:9" x14ac:dyDescent="0.4">
      <c r="E202" s="34"/>
      <c r="F202" s="53"/>
      <c r="G202" s="42"/>
      <c r="H202" s="43"/>
      <c r="I202" s="43"/>
    </row>
    <row r="203" spans="5:9" x14ac:dyDescent="0.4">
      <c r="E203" s="34"/>
      <c r="F203" s="54"/>
      <c r="G203" s="42"/>
      <c r="H203" s="43"/>
      <c r="I203" s="43"/>
    </row>
    <row r="204" spans="5:9" x14ac:dyDescent="0.4">
      <c r="F204" s="58"/>
    </row>
    <row r="205" spans="5:9" x14ac:dyDescent="0.4">
      <c r="F205" s="58"/>
    </row>
    <row r="206" spans="5:9" x14ac:dyDescent="0.4">
      <c r="F206" s="58"/>
    </row>
    <row r="207" spans="5:9" x14ac:dyDescent="0.4">
      <c r="F207" s="58"/>
    </row>
    <row r="208" spans="5:9" x14ac:dyDescent="0.4">
      <c r="F208" s="58"/>
    </row>
    <row r="209" spans="6:6" x14ac:dyDescent="0.4">
      <c r="F209" s="58"/>
    </row>
    <row r="210" spans="6:6" x14ac:dyDescent="0.4">
      <c r="F210" s="58"/>
    </row>
    <row r="211" spans="6:6" x14ac:dyDescent="0.4">
      <c r="F211" s="58"/>
    </row>
    <row r="212" spans="6:6" x14ac:dyDescent="0.4">
      <c r="F212" s="58"/>
    </row>
    <row r="213" spans="6:6" x14ac:dyDescent="0.4">
      <c r="F213" s="58"/>
    </row>
    <row r="214" spans="6:6" x14ac:dyDescent="0.4">
      <c r="F214" s="58"/>
    </row>
    <row r="215" spans="6:6" x14ac:dyDescent="0.4">
      <c r="F215" s="58"/>
    </row>
    <row r="216" spans="6:6" x14ac:dyDescent="0.4">
      <c r="F216" s="58"/>
    </row>
    <row r="217" spans="6:6" x14ac:dyDescent="0.4">
      <c r="F217" s="58"/>
    </row>
    <row r="218" spans="6:6" x14ac:dyDescent="0.4">
      <c r="F218" s="58"/>
    </row>
    <row r="219" spans="6:6" x14ac:dyDescent="0.4">
      <c r="F219" s="58"/>
    </row>
    <row r="220" spans="6:6" x14ac:dyDescent="0.4">
      <c r="F220" s="58"/>
    </row>
    <row r="221" spans="6:6" x14ac:dyDescent="0.4">
      <c r="F221" s="58"/>
    </row>
    <row r="222" spans="6:6" x14ac:dyDescent="0.4">
      <c r="F222" s="58"/>
    </row>
    <row r="223" spans="6:6" x14ac:dyDescent="0.4">
      <c r="F223" s="58"/>
    </row>
    <row r="224" spans="6:6" x14ac:dyDescent="0.4">
      <c r="F224" s="58"/>
    </row>
  </sheetData>
  <mergeCells count="117">
    <mergeCell ref="F199:F203"/>
    <mergeCell ref="G199:G203"/>
    <mergeCell ref="H199:H203"/>
    <mergeCell ref="I199:I203"/>
    <mergeCell ref="F185:F191"/>
    <mergeCell ref="G185:G191"/>
    <mergeCell ref="H185:H191"/>
    <mergeCell ref="I185:I191"/>
    <mergeCell ref="F192:F198"/>
    <mergeCell ref="G192:G198"/>
    <mergeCell ref="H192:H198"/>
    <mergeCell ref="I192:I198"/>
    <mergeCell ref="F171:F177"/>
    <mergeCell ref="G171:G177"/>
    <mergeCell ref="H171:H177"/>
    <mergeCell ref="I171:I177"/>
    <mergeCell ref="F178:F184"/>
    <mergeCell ref="G178:G184"/>
    <mergeCell ref="H178:H184"/>
    <mergeCell ref="I178:I184"/>
    <mergeCell ref="F157:F163"/>
    <mergeCell ref="G157:G163"/>
    <mergeCell ref="H157:H163"/>
    <mergeCell ref="I157:I163"/>
    <mergeCell ref="F164:F170"/>
    <mergeCell ref="G164:G170"/>
    <mergeCell ref="H164:H170"/>
    <mergeCell ref="I164:I170"/>
    <mergeCell ref="F143:F149"/>
    <mergeCell ref="G143:G149"/>
    <mergeCell ref="H143:H149"/>
    <mergeCell ref="I143:I149"/>
    <mergeCell ref="F150:F156"/>
    <mergeCell ref="G150:G156"/>
    <mergeCell ref="H150:H156"/>
    <mergeCell ref="I150:I156"/>
    <mergeCell ref="F129:F135"/>
    <mergeCell ref="G129:G135"/>
    <mergeCell ref="H129:H135"/>
    <mergeCell ref="I129:I135"/>
    <mergeCell ref="F136:F142"/>
    <mergeCell ref="G136:G142"/>
    <mergeCell ref="H136:H142"/>
    <mergeCell ref="I136:I142"/>
    <mergeCell ref="F115:F121"/>
    <mergeCell ref="G115:G121"/>
    <mergeCell ref="H115:H121"/>
    <mergeCell ref="I115:I121"/>
    <mergeCell ref="F122:F128"/>
    <mergeCell ref="G122:G128"/>
    <mergeCell ref="H122:H128"/>
    <mergeCell ref="I122:I128"/>
    <mergeCell ref="F101:F107"/>
    <mergeCell ref="G101:G107"/>
    <mergeCell ref="H101:H107"/>
    <mergeCell ref="I101:I107"/>
    <mergeCell ref="F108:F114"/>
    <mergeCell ref="G108:G114"/>
    <mergeCell ref="H108:H114"/>
    <mergeCell ref="I108:I114"/>
    <mergeCell ref="F87:F93"/>
    <mergeCell ref="G87:G93"/>
    <mergeCell ref="H87:H93"/>
    <mergeCell ref="I87:I93"/>
    <mergeCell ref="F94:F100"/>
    <mergeCell ref="G94:G100"/>
    <mergeCell ref="H94:H100"/>
    <mergeCell ref="I94:I100"/>
    <mergeCell ref="F73:F79"/>
    <mergeCell ref="G73:G79"/>
    <mergeCell ref="H73:H79"/>
    <mergeCell ref="I73:I79"/>
    <mergeCell ref="F80:F86"/>
    <mergeCell ref="G80:G86"/>
    <mergeCell ref="H80:H86"/>
    <mergeCell ref="I80:I86"/>
    <mergeCell ref="F59:F65"/>
    <mergeCell ref="G59:G65"/>
    <mergeCell ref="H59:H65"/>
    <mergeCell ref="I59:I65"/>
    <mergeCell ref="F66:F72"/>
    <mergeCell ref="G66:G72"/>
    <mergeCell ref="H66:H72"/>
    <mergeCell ref="I66:I72"/>
    <mergeCell ref="F45:F51"/>
    <mergeCell ref="G45:G51"/>
    <mergeCell ref="H45:H51"/>
    <mergeCell ref="I45:I51"/>
    <mergeCell ref="F52:F58"/>
    <mergeCell ref="G52:G58"/>
    <mergeCell ref="H52:H58"/>
    <mergeCell ref="I52:I58"/>
    <mergeCell ref="F31:F37"/>
    <mergeCell ref="G31:G37"/>
    <mergeCell ref="H31:H37"/>
    <mergeCell ref="I31:I37"/>
    <mergeCell ref="F38:F44"/>
    <mergeCell ref="G38:G44"/>
    <mergeCell ref="H38:H44"/>
    <mergeCell ref="I38:I44"/>
    <mergeCell ref="F17:F23"/>
    <mergeCell ref="G17:G23"/>
    <mergeCell ref="H17:H23"/>
    <mergeCell ref="I17:I23"/>
    <mergeCell ref="F24:F30"/>
    <mergeCell ref="G24:G30"/>
    <mergeCell ref="H24:H30"/>
    <mergeCell ref="I24:I30"/>
    <mergeCell ref="A1:D1"/>
    <mergeCell ref="F4:F9"/>
    <mergeCell ref="G4:G9"/>
    <mergeCell ref="H4:H9"/>
    <mergeCell ref="I4:I9"/>
    <mergeCell ref="F10:F16"/>
    <mergeCell ref="G10:G16"/>
    <mergeCell ref="H10:H16"/>
    <mergeCell ref="I10:I16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선문대 컴퓨터공학부</dc:creator>
  <cp:lastModifiedBy>선문대 컴퓨터공학부</cp:lastModifiedBy>
  <dcterms:created xsi:type="dcterms:W3CDTF">2026-05-11T03:18:09Z</dcterms:created>
  <dcterms:modified xsi:type="dcterms:W3CDTF">2026-05-11T03:18:26Z</dcterms:modified>
</cp:coreProperties>
</file>